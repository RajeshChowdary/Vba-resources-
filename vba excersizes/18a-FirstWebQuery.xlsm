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Sheet1" sheetId="3" r:id="rId1"/>
    <sheet name="Web" sheetId="1" r:id="rId2"/>
    <sheet name="Data" sheetId="2" r:id="rId3"/>
  </sheets>
  <definedNames>
    <definedName name="DailyHistory" localSheetId="1">Web!#REF!</definedName>
    <definedName name="DailyHistory10" localSheetId="1">Web!$A$10:$M$256</definedName>
    <definedName name="DailyHistory2" localSheetId="1">Web!$A$10:$M$256</definedName>
    <definedName name="DailyHistory3" localSheetId="1">Web!$A$10:$M$258</definedName>
    <definedName name="DailyHistory4" localSheetId="1">Web!$A$10:$M$259</definedName>
    <definedName name="DailyHistory5" localSheetId="1">Web!$A$10:$M$255</definedName>
    <definedName name="DailyHistory6" localSheetId="1">Web!$A$10:$M$266</definedName>
    <definedName name="DailyHistory7" localSheetId="1">Web!$A$10:$M$263</definedName>
    <definedName name="DailyHistory8" localSheetId="1">Web!$A$10:$M$256</definedName>
    <definedName name="DailyHistory9" localSheetId="1">Web!$A$10:$M$255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 s="1"/>
  <c r="D3" i="1"/>
  <c r="D4" i="1" s="1"/>
  <c r="C3" i="1"/>
  <c r="C4" i="1" s="1"/>
  <c r="B3" i="1"/>
  <c r="B4" i="1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3" i="2"/>
  <c r="E5" i="1"/>
  <c r="D5" i="1"/>
  <c r="C5" i="1"/>
  <c r="B5" i="1"/>
</calcChain>
</file>

<file path=xl/connections.xml><?xml version="1.0" encoding="utf-8"?>
<connections xmlns="http://schemas.openxmlformats.org/spreadsheetml/2006/main">
  <connection id="1" name="Connection1" type="4" refreshedVersion="5" background="1" saveData="1">
    <webPr sourceData="1" parsePre="1" consecutive="1" xl2000="1" url="http://www.wunderground.com/history/airport/KCAK//2012/10/7/DailyHistory.html"/>
  </connection>
  <connection id="2" name="Connection2" type="4" refreshedVersion="5" background="1" saveData="1">
    <webPr sourceData="1" parsePre="1" consecutive="1" xl2000="1" url="http://www.wunderground.com/history/airport/KCAK//2012/10/6/DailyHistory.html"/>
  </connection>
  <connection id="3" name="Connection3" type="4" refreshedVersion="5" background="1" saveData="1">
    <webPr sourceData="1" parsePre="1" consecutive="1" xl2000="1" url="http://www.wunderground.com/history/airport/KCAK//2012/10/5/DailyHistory.html"/>
  </connection>
  <connection id="4" name="Connection4" type="4" refreshedVersion="5" background="1" saveData="1">
    <webPr sourceData="1" parsePre="1" consecutive="1" xl2000="1" url="http://www.wunderground.com/history/airport/KCAK//2012/10/4/DailyHistory.html"/>
  </connection>
  <connection id="5" name="Connection5" type="4" refreshedVersion="5" background="1" saveData="1">
    <webPr sourceData="1" parsePre="1" consecutive="1" xl2000="1" url="http://www.wunderground.com/history/airport/KCAK//2012/10/3/DailyHistory.html"/>
  </connection>
  <connection id="6" name="Connection6" type="4" refreshedVersion="5" background="1" saveData="1">
    <webPr sourceData="1" parsePre="1" consecutive="1" xl2000="1" url="http://www.wunderground.com/history/airport/KCAK//2012/10/2/DailyHistory.html"/>
  </connection>
  <connection id="7" name="Connection7" type="4" refreshedVersion="5" background="1" saveData="1">
    <webPr sourceData="1" parsePre="1" consecutive="1" xl2000="1" url="http://www.wunderground.com/history/airport/KCAK//2012/10/1/DailyHistory.html"/>
  </connection>
  <connection id="8" name="Connection8" type="4" refreshedVersion="5" background="1" saveData="1">
    <webPr sourceData="1" parsePre="1" consecutive="1" xl2000="1" url="http://www.wunderground.com/history/airport/KCAK//2012/9/30/DailyHistory.html"/>
  </connection>
  <connection id="9" name="Connection9" type="4" refreshedVersion="5" background="1" saveData="1">
    <webPr sourceData="1" parsePre="1" consecutive="1" xl2000="1" url="http://www.wunderground.com/history/airport/KCAK//2012/9/29/DailyHistory.html"/>
  </connection>
</connections>
</file>

<file path=xl/sharedStrings.xml><?xml version="1.0" encoding="utf-8"?>
<sst xmlns="http://schemas.openxmlformats.org/spreadsheetml/2006/main" count="539" uniqueCount="303">
  <si>
    <t>Main Site Mobile iPhone Lite Full Screen Downloads</t>
  </si>
  <si>
    <t>Settings Join Sign In</t>
  </si>
  <si>
    <t>Weather Underground</t>
  </si>
  <si>
    <t>Favorites</t>
  </si>
  <si>
    <t>You don't appear to have any favorites yet, or your cookies may be disabled.</t>
  </si>
  <si>
    <t>► ◄</t>
  </si>
  <si>
    <t>Search</t>
  </si>
  <si>
    <t>Local Weather</t>
  </si>
  <si>
    <t>My Favorites</t>
  </si>
  <si>
    <t>History Data</t>
  </si>
  <si>
    <t>Weather Stations</t>
  </si>
  <si>
    <t>Weather Stickers®</t>
  </si>
  <si>
    <t>Weather Glossary</t>
  </si>
  <si>
    <t>Pollen &amp; Allergies</t>
  </si>
  <si>
    <t>Business Center</t>
  </si>
  <si>
    <t>Weather Radio</t>
  </si>
  <si>
    <t>Broadcast Network</t>
  </si>
  <si>
    <t>Twitter Weather</t>
  </si>
  <si>
    <t>Daily Forecast Flyer</t>
  </si>
  <si>
    <t>Maps &amp; Radar</t>
  </si>
  <si>
    <t>Radar</t>
  </si>
  <si>
    <t>Satellite</t>
  </si>
  <si>
    <t>WunderMap®</t>
  </si>
  <si>
    <t>Full Screen Weather</t>
  </si>
  <si>
    <t>Health Maps</t>
  </si>
  <si>
    <t>Pollen Index</t>
  </si>
  <si>
    <t>Aviation Maps</t>
  </si>
  <si>
    <t>Marine Maps</t>
  </si>
  <si>
    <t>Regional Radar</t>
  </si>
  <si>
    <t>Model Maps</t>
  </si>
  <si>
    <t>Forecast Maps</t>
  </si>
  <si>
    <t>U.S. Severe Maps</t>
  </si>
  <si>
    <t>Tropical Maps</t>
  </si>
  <si>
    <t>Current Conditions</t>
  </si>
  <si>
    <t>About Maps &amp; Radar</t>
  </si>
  <si>
    <t>Severe Weather</t>
  </si>
  <si>
    <t>Tropical &amp; Hurricane</t>
  </si>
  <si>
    <t>Convective Outlook</t>
  </si>
  <si>
    <t>U.S. Severe Alerts</t>
  </si>
  <si>
    <t>Europe Severe Alerts</t>
  </si>
  <si>
    <t>Storm Reports</t>
  </si>
  <si>
    <t>Fire Weather</t>
  </si>
  <si>
    <t>Tornadoes</t>
  </si>
  <si>
    <t>Preparedness</t>
  </si>
  <si>
    <t>Photos &amp; Video</t>
  </si>
  <si>
    <t>Photo Galleries</t>
  </si>
  <si>
    <t>World View</t>
  </si>
  <si>
    <t>Dead Heat</t>
  </si>
  <si>
    <t>Videos</t>
  </si>
  <si>
    <t>Climate Videos</t>
  </si>
  <si>
    <t>Webcams</t>
  </si>
  <si>
    <t>My Favorite Photos</t>
  </si>
  <si>
    <t>Blogs</t>
  </si>
  <si>
    <t>Dr. Jeff Masters</t>
  </si>
  <si>
    <t>Weather Historian</t>
  </si>
  <si>
    <t>Meteorology Blogs</t>
  </si>
  <si>
    <t>Member Blogs</t>
  </si>
  <si>
    <t>Climate Change Blog</t>
  </si>
  <si>
    <t>Community Chat</t>
  </si>
  <si>
    <t>My Favorite Blogs</t>
  </si>
  <si>
    <t>Travel &amp; Activities</t>
  </si>
  <si>
    <t>Travel Planner</t>
  </si>
  <si>
    <t>Road Trip Planner</t>
  </si>
  <si>
    <t>Sailing &amp; Boating</t>
  </si>
  <si>
    <t>Beach Weather</t>
  </si>
  <si>
    <t>Ski &amp; Snow</t>
  </si>
  <si>
    <t>Sports</t>
  </si>
  <si>
    <t>Flight Tracking</t>
  </si>
  <si>
    <t>General Aviation</t>
  </si>
  <si>
    <t>Marine &amp; Boating</t>
  </si>
  <si>
    <t>Winter Driving Tips</t>
  </si>
  <si>
    <t>Gardening</t>
  </si>
  <si>
    <t>Astronomy</t>
  </si>
  <si>
    <t>U.S. National Parks</t>
  </si>
  <si>
    <t>Climate</t>
  </si>
  <si>
    <t>Climate Change</t>
  </si>
  <si>
    <t>Local Climate</t>
  </si>
  <si>
    <t>Record Extremes</t>
  </si>
  <si>
    <t>Evidence</t>
  </si>
  <si>
    <t>Feeling Skeptical?</t>
  </si>
  <si>
    <t>Solar Calculator</t>
  </si>
  <si>
    <t>My Email &amp; Text Alerts</t>
  </si>
  <si>
    <t>My Webcams</t>
  </si>
  <si>
    <t>History for Akron Canton, OH</t>
  </si>
  <si>
    <t>« Previous Day</t>
  </si>
  <si>
    <t>Next Day »</t>
  </si>
  <si>
    <t>Daily Weekly Monthly Custom</t>
  </si>
  <si>
    <t>Actual</t>
  </si>
  <si>
    <t>Average</t>
  </si>
  <si>
    <t>Record</t>
  </si>
  <si>
    <t>Temperature</t>
  </si>
  <si>
    <t>Mean Temperature</t>
  </si>
  <si>
    <t>68 °F</t>
  </si>
  <si>
    <t>Max Temperature</t>
  </si>
  <si>
    <t>Min Temperature</t>
  </si>
  <si>
    <t>58 °F</t>
  </si>
  <si>
    <t>Degree Days</t>
  </si>
  <si>
    <t>Heating Degree Days</t>
  </si>
  <si>
    <t>Month to date heating degree days</t>
  </si>
  <si>
    <t>Since 1 July heating degree days</t>
  </si>
  <si>
    <t>Cooling Degree Days</t>
  </si>
  <si>
    <t>Month to date cooling degree days</t>
  </si>
  <si>
    <t>Year to date cooling degree days</t>
  </si>
  <si>
    <t>Growing Degree Days</t>
  </si>
  <si>
    <t>Moisture</t>
  </si>
  <si>
    <t>Dew Point</t>
  </si>
  <si>
    <t>Average Humidity</t>
  </si>
  <si>
    <t>Maximum Humidity</t>
  </si>
  <si>
    <t>Minimum Humidity</t>
  </si>
  <si>
    <t>Precipitation</t>
  </si>
  <si>
    <t>0.00 in</t>
  </si>
  <si>
    <t>Month to date precipitation</t>
  </si>
  <si>
    <t>Year to date precipitation</t>
  </si>
  <si>
    <t>Snow</t>
  </si>
  <si>
    <t>- ()</t>
  </si>
  <si>
    <t>Month to date snowfall</t>
  </si>
  <si>
    <t>Since 1 July snowfall</t>
  </si>
  <si>
    <t>Snow Depth</t>
  </si>
  <si>
    <t>-</t>
  </si>
  <si>
    <t>Sea Level Pressure</t>
  </si>
  <si>
    <t>Wind</t>
  </si>
  <si>
    <t>Wind Speed</t>
  </si>
  <si>
    <t>Max Wind Speed</t>
  </si>
  <si>
    <t>Max Gust Speed</t>
  </si>
  <si>
    <t>Visibility</t>
  </si>
  <si>
    <t>Events</t>
  </si>
  <si>
    <t>T = Trace of Precipitation, MM = Missing Value</t>
  </si>
  <si>
    <t>Source: NWS Daily Summary</t>
  </si>
  <si>
    <t>Daily Graph</t>
  </si>
  <si>
    <t>Certify This Report</t>
  </si>
  <si>
    <t>History Location</t>
  </si>
  <si>
    <t>Airport:</t>
  </si>
  <si>
    <t>Recent:</t>
  </si>
  <si>
    <t>KMLB , KCAK</t>
  </si>
  <si>
    <t>Trip Planner</t>
  </si>
  <si>
    <t>Search our historical database for the weather conditions in past years. The results will help you decide how hot, cold, wet, or windy it will be!</t>
  </si>
  <si>
    <t>Date:</t>
  </si>
  <si>
    <t>Radar Archive</t>
  </si>
  <si>
    <t>Click to View Archived Radar Loop</t>
  </si>
  <si>
    <t>View Animated Radar Loop</t>
  </si>
  <si>
    <t>This image may take a moment to generate.</t>
  </si>
  <si>
    <t>Local Photos</t>
  </si>
  <si>
    <t>Visit WunderPhotos</t>
  </si>
  <si>
    <t>Rise</t>
  </si>
  <si>
    <t>Set</t>
  </si>
  <si>
    <t>Actual Time</t>
  </si>
  <si>
    <t>Civil Twilight</t>
  </si>
  <si>
    <t>Nautical Twilight</t>
  </si>
  <si>
    <t>Astronomical Twilight</t>
  </si>
  <si>
    <t>Moon</t>
  </si>
  <si>
    <t>Length Of Visible Light</t>
  </si>
  <si>
    <t>Length of Day</t>
  </si>
  <si>
    <t>Last Quarter</t>
  </si>
  <si>
    <t>New</t>
  </si>
  <si>
    <t>First Quarter</t>
  </si>
  <si>
    <t>Full</t>
  </si>
  <si>
    <t>Visit Astronomy</t>
  </si>
  <si>
    <t>Hourly Observations</t>
  </si>
  <si>
    <t>Time (EDT)</t>
  </si>
  <si>
    <t>Temp.</t>
  </si>
  <si>
    <t>Humidity</t>
  </si>
  <si>
    <t>Pressure</t>
  </si>
  <si>
    <t>Wind Dir</t>
  </si>
  <si>
    <t>Gust Speed</t>
  </si>
  <si>
    <t>Precip</t>
  </si>
  <si>
    <t>Conditions</t>
  </si>
  <si>
    <t>57.9 °F</t>
  </si>
  <si>
    <t>41.0 °F</t>
  </si>
  <si>
    <t>North</t>
  </si>
  <si>
    <t>4.6 mph</t>
  </si>
  <si>
    <t>N/A</t>
  </si>
  <si>
    <t>42.1 °F</t>
  </si>
  <si>
    <t>Partly Cloudy</t>
  </si>
  <si>
    <t>43.0 °F</t>
  </si>
  <si>
    <t>Calm</t>
  </si>
  <si>
    <t>45.0 °F</t>
  </si>
  <si>
    <t>55.0 °F</t>
  </si>
  <si>
    <t>44.1 °F</t>
  </si>
  <si>
    <t>Scattered Clouds</t>
  </si>
  <si>
    <t>46.0 °F</t>
  </si>
  <si>
    <t>66.9 °F</t>
  </si>
  <si>
    <t>5.8 mph</t>
  </si>
  <si>
    <t>Variable</t>
  </si>
  <si>
    <t>West</t>
  </si>
  <si>
    <t>48.9 °F</t>
  </si>
  <si>
    <t>3.5 mph</t>
  </si>
  <si>
    <t>48.0 °F</t>
  </si>
  <si>
    <t>51.1 °F</t>
  </si>
  <si>
    <t>Mostly Cloudy</t>
  </si>
  <si>
    <t>30.11 in</t>
  </si>
  <si>
    <t>Show full METARS | METAR FAQ | Comma Delimited File</t>
  </si>
  <si>
    <t>WunderMap™</t>
  </si>
  <si>
    <t>Get Free Weather Stickers®</t>
  </si>
  <si>
    <t>Upload Your Photos</t>
  </si>
  <si>
    <t>Weather API for Developers NEW!</t>
  </si>
  <si>
    <t>Become a Site Member</t>
  </si>
  <si>
    <t>Find us on Facebook</t>
  </si>
  <si>
    <t>Follow us on Twitter</t>
  </si>
  <si>
    <t>Custom Weather Services</t>
  </si>
  <si>
    <t>In addition to this website, we provide a number of free and professional weather services.</t>
  </si>
  <si>
    <t>Weather API for Developers - JSON</t>
  </si>
  <si>
    <t>Website Autobrand®</t>
  </si>
  <si>
    <t>Newspapers</t>
  </si>
  <si>
    <t>About Our Data</t>
  </si>
  <si>
    <t>Advertise On This Site</t>
  </si>
  <si>
    <t>Weather Underground has extensive targeting capabilities to fulfill all of your client's advertising needs.</t>
  </si>
  <si>
    <t>Advertise With Us</t>
  </si>
  <si>
    <t>Media Kit (PDF)</t>
  </si>
  <si>
    <t>Copyright © 2012 Weather Underground, Inc.</t>
  </si>
  <si>
    <t>About Us - Contact - Support - Employment - Press Releases - Terms of Service - Privacy Policy - WunderStore</t>
  </si>
  <si>
    <t>QuantcastQuantcast</t>
  </si>
  <si>
    <t>Date</t>
  </si>
  <si>
    <t>Format</t>
  </si>
  <si>
    <t>High</t>
  </si>
  <si>
    <t>Low</t>
  </si>
  <si>
    <t>Rain</t>
  </si>
  <si>
    <t>Words in web page results:</t>
  </si>
  <si>
    <t>Row number below:</t>
  </si>
  <si>
    <t>Result:</t>
  </si>
  <si>
    <t>Formula:</t>
  </si>
  <si>
    <t>42 °F</t>
  </si>
  <si>
    <t>55 °F</t>
  </si>
  <si>
    <t>48 °F</t>
  </si>
  <si>
    <t>36 °F</t>
  </si>
  <si>
    <t>45 °F</t>
  </si>
  <si>
    <t>0.02 in</t>
  </si>
  <si>
    <t>0.10 in</t>
  </si>
  <si>
    <t>Since 1 September snowfall</t>
  </si>
  <si>
    <t>30.10 in</t>
  </si>
  <si>
    <t>9.0 mi</t>
  </si>
  <si>
    <t>8.0 mi</t>
  </si>
  <si>
    <t>SW</t>
  </si>
  <si>
    <t>30.08 in</t>
  </si>
  <si>
    <t>WNW</t>
  </si>
  <si>
    <t>30.09 in</t>
  </si>
  <si>
    <t>7.0 mi</t>
  </si>
  <si>
    <t>8.1 mph</t>
  </si>
  <si>
    <t>6.0 mi</t>
  </si>
  <si>
    <t>Haze</t>
  </si>
  <si>
    <t>39.0 °F</t>
  </si>
  <si>
    <t>39.9 °F</t>
  </si>
  <si>
    <t>65 °F</t>
  </si>
  <si>
    <t>41 °F</t>
  </si>
  <si>
    <t>0.34 in</t>
  </si>
  <si>
    <t>7 miles</t>
  </si>
  <si>
    <t>29.94 in</t>
  </si>
  <si>
    <t>0.17 in</t>
  </si>
  <si>
    <t>29.96 in</t>
  </si>
  <si>
    <t>29.95 in</t>
  </si>
  <si>
    <t>29.97 in</t>
  </si>
  <si>
    <t>29.99 in</t>
  </si>
  <si>
    <t>30.03 in</t>
  </si>
  <si>
    <t>4.0 mi</t>
  </si>
  <si>
    <t>5.0 mi</t>
  </si>
  <si>
    <t>30.04 in</t>
  </si>
  <si>
    <t>52.0 °F</t>
  </si>
  <si>
    <t>30.06 in</t>
  </si>
  <si>
    <t>70 °F</t>
  </si>
  <si>
    <t>49 °F</t>
  </si>
  <si>
    <t>0.28 in</t>
  </si>
  <si>
    <t>60.1 °F</t>
  </si>
  <si>
    <t>64.0 °F</t>
  </si>
  <si>
    <t>30.07 in</t>
  </si>
  <si>
    <t>30.01 in</t>
  </si>
  <si>
    <t>66.0 °F</t>
  </si>
  <si>
    <t>62.1 °F</t>
  </si>
  <si>
    <t>73 °F</t>
  </si>
  <si>
    <t>72 °F</t>
  </si>
  <si>
    <t>63.0 °F</t>
  </si>
  <si>
    <t>Fog</t>
  </si>
  <si>
    <t>63 °F</t>
  </si>
  <si>
    <t>54 °F</t>
  </si>
  <si>
    <t>0.15 in</t>
  </si>
  <si>
    <t>T in</t>
  </si>
  <si>
    <t>Full, 100% of the Moon is Illuminated</t>
  </si>
  <si>
    <t>Saturday, September 29, 2012 — View Current Conditions</t>
  </si>
  <si>
    <t>Saturday, September 29, 2012</t>
  </si>
  <si>
    <t>93 °F (1953)</t>
  </si>
  <si>
    <t>29 °F (1942)</t>
  </si>
  <si>
    <t>5 (Base 50)</t>
  </si>
  <si>
    <t>1.39 in (1999)</t>
  </si>
  <si>
    <t>2 mph (WNW)</t>
  </si>
  <si>
    <t>10 mph</t>
  </si>
  <si>
    <t>14 mph</t>
  </si>
  <si>
    <t>Ohio Amish country 2012</t>
  </si>
  <si>
    <t>Bird house condo with Hellaport</t>
  </si>
  <si>
    <t>7:20 AM EDT</t>
  </si>
  <si>
    <t>7:10 PM EDT</t>
  </si>
  <si>
    <t>6:53 AM EDT</t>
  </si>
  <si>
    <t>7:37 PM EDT</t>
  </si>
  <si>
    <t>6:21 AM EDT</t>
  </si>
  <si>
    <t>8:09 PM EDT</t>
  </si>
  <si>
    <t>5:49 AM EDT</t>
  </si>
  <si>
    <t>8:41 PM EDT</t>
  </si>
  <si>
    <t>6:41 PM EDT (9/29)</t>
  </si>
  <si>
    <t>6:50 AM EDT (9/29)</t>
  </si>
  <si>
    <t>12h 44m</t>
  </si>
  <si>
    <t>11h 49m</t>
  </si>
  <si>
    <t>Shallow Fog</t>
  </si>
  <si>
    <t>VBA&amp; Macros Excel 2013</t>
  </si>
  <si>
    <t>Chapter 18 - Getting Data From the Web</t>
  </si>
  <si>
    <t>This file includes the weather query</t>
  </si>
  <si>
    <t>from pages 419-427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</si>
</sst>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6" fontId="0" fillId="0" borderId="0" xfId="0" applyNumberFormat="1"/>
    <xf numFmtId="18" fontId="0" fillId="0" borderId="0" xfId="0" applyNumberFormat="1"/>
    <xf numFmtId="9" fontId="0" fillId="0" borderId="0" xfId="0" applyNumberFormat="1"/>
    <xf numFmtId="0" fontId="0" fillId="0" borderId="1" xfId="0" applyBorder="1"/>
    <xf numFmtId="14" fontId="0" fillId="0" borderId="0" xfId="0" applyNumberFormat="1"/>
    <xf numFmtId="0" fontId="2" fillId="0" borderId="0" xfId="2"/>
    <xf numFmtId="0" fontId="1" fillId="0" borderId="0" xfId="1" applyAlignment="1">
      <alignment horizontal="right"/>
    </xf>
  </cellXfs>
  <cellStyles count="3">
    <cellStyle name="Explanatory Text" xfId="2" builtinId="53"/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0</xdr:row>
      <xdr:rowOff>133350</xdr:rowOff>
    </xdr:from>
    <xdr:to>
      <xdr:col>8</xdr:col>
      <xdr:colOff>57150</xdr:colOff>
      <xdr:row>13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133350"/>
          <a:ext cx="1809750" cy="23622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ailyHistory3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ilyHistory5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ilyHistory10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ilyHistory9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ilyHistory2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ilyHistory7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ilyHistory4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ilyHistory6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ilyHistory8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tabSelected="1" workbookViewId="0">
      <selection activeCell="A6" sqref="A6"/>
    </sheetView>
  </sheetViews>
  <sheetFormatPr defaultRowHeight="15" x14ac:dyDescent="0.25"/>
  <sheetData>
    <row r="1" spans="1:1" x14ac:dyDescent="0.25">
      <c r="A1" t="s">
        <v>299</v>
      </c>
    </row>
    <row r="2" spans="1:1" x14ac:dyDescent="0.25">
      <c r="A2" t="s">
        <v>300</v>
      </c>
    </row>
    <row r="4" spans="1:1" x14ac:dyDescent="0.25">
      <c r="A4" t="s">
        <v>301</v>
      </c>
    </row>
    <row r="5" spans="1:1" x14ac:dyDescent="0.25">
      <c r="A5" t="s">
        <v>302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6"/>
  <sheetViews>
    <sheetView workbookViewId="0">
      <selection activeCell="B37" sqref="B37"/>
    </sheetView>
  </sheetViews>
  <sheetFormatPr defaultRowHeight="15" x14ac:dyDescent="0.25"/>
  <cols>
    <col min="1" max="1" width="53" customWidth="1"/>
    <col min="2" max="2" width="81.140625" customWidth="1"/>
    <col min="3" max="3" width="26.42578125" customWidth="1"/>
    <col min="4" max="4" width="12.5703125" customWidth="1"/>
    <col min="5" max="5" width="12.140625" customWidth="1"/>
    <col min="6" max="6" width="8.85546875" customWidth="1"/>
    <col min="7" max="7" width="8.7109375" customWidth="1"/>
    <col min="8" max="8" width="11.7109375" customWidth="1"/>
    <col min="9" max="9" width="11" customWidth="1"/>
    <col min="10" max="10" width="6.5703125" customWidth="1"/>
    <col min="11" max="11" width="6.85546875" customWidth="1"/>
    <col min="12" max="12" width="16" customWidth="1"/>
    <col min="13" max="13" width="16" bestFit="1" customWidth="1"/>
  </cols>
  <sheetData>
    <row r="1" spans="1:5" ht="15.75" thickBot="1" x14ac:dyDescent="0.3">
      <c r="B1" t="s">
        <v>213</v>
      </c>
      <c r="C1" t="s">
        <v>214</v>
      </c>
      <c r="D1" t="s">
        <v>215</v>
      </c>
      <c r="E1" t="s">
        <v>113</v>
      </c>
    </row>
    <row r="2" spans="1:5" ht="15.75" thickBot="1" x14ac:dyDescent="0.3">
      <c r="A2" s="7" t="s">
        <v>216</v>
      </c>
      <c r="B2" s="4" t="s">
        <v>93</v>
      </c>
      <c r="C2" s="4" t="s">
        <v>94</v>
      </c>
      <c r="D2" s="4" t="s">
        <v>109</v>
      </c>
      <c r="E2" s="4" t="s">
        <v>113</v>
      </c>
    </row>
    <row r="3" spans="1:5" x14ac:dyDescent="0.25">
      <c r="A3" s="7" t="s">
        <v>217</v>
      </c>
      <c r="B3">
        <f>MATCH(B2,$A:$A,0)</f>
        <v>117</v>
      </c>
      <c r="C3">
        <f>MATCH(C2,$A:$A,0)</f>
        <v>118</v>
      </c>
      <c r="D3">
        <f>MATCH(D2,$A:$A,0)</f>
        <v>132</v>
      </c>
      <c r="E3">
        <f>MATCH(E2,$A:$A,0)</f>
        <v>136</v>
      </c>
    </row>
    <row r="4" spans="1:5" x14ac:dyDescent="0.25">
      <c r="A4" s="7" t="s">
        <v>218</v>
      </c>
      <c r="B4" t="str">
        <f>INDEX($B:$B,B3)</f>
        <v>68 °F</v>
      </c>
      <c r="C4" t="str">
        <f>INDEX($B:$B,C3)</f>
        <v>42 °F</v>
      </c>
      <c r="D4" t="str">
        <f>INDEX($B:$B,D3+1)</f>
        <v>0.00 in</v>
      </c>
      <c r="E4" t="str">
        <f>INDEX($B:$B,E3+1)</f>
        <v>0.00 in</v>
      </c>
    </row>
    <row r="5" spans="1:5" x14ac:dyDescent="0.25">
      <c r="A5" s="7" t="s">
        <v>219</v>
      </c>
      <c r="B5" s="6" t="e">
        <f ca="1">_xlfn.FORMULATEXT(B4)</f>
        <v>#NAME?</v>
      </c>
      <c r="C5" s="6" t="e">
        <f ca="1">_xlfn.FORMULATEXT(C4)</f>
        <v>#NAME?</v>
      </c>
      <c r="D5" s="6" t="e">
        <f ca="1">_xlfn.FORMULATEXT(D4)</f>
        <v>#NAME?</v>
      </c>
      <c r="E5" s="6" t="e">
        <f ca="1">_xlfn.FORMULATEXT(E4)</f>
        <v>#NAME?</v>
      </c>
    </row>
    <row r="10" spans="1:5" x14ac:dyDescent="0.25">
      <c r="A10" t="s">
        <v>0</v>
      </c>
    </row>
    <row r="11" spans="1:5" x14ac:dyDescent="0.25">
      <c r="A11" t="s">
        <v>1</v>
      </c>
    </row>
    <row r="12" spans="1:5" x14ac:dyDescent="0.25">
      <c r="A12" t="s">
        <v>2</v>
      </c>
    </row>
    <row r="13" spans="1:5" x14ac:dyDescent="0.25">
      <c r="A13" t="s">
        <v>3</v>
      </c>
    </row>
    <row r="14" spans="1:5" x14ac:dyDescent="0.25">
      <c r="A14" t="s">
        <v>4</v>
      </c>
    </row>
    <row r="15" spans="1:5" x14ac:dyDescent="0.25">
      <c r="A15" t="s">
        <v>5</v>
      </c>
    </row>
    <row r="16" spans="1:5" x14ac:dyDescent="0.25">
      <c r="B16" t="s">
        <v>6</v>
      </c>
    </row>
    <row r="17" spans="1:1" x14ac:dyDescent="0.25">
      <c r="A17" t="s">
        <v>7</v>
      </c>
    </row>
    <row r="19" spans="1:1" x14ac:dyDescent="0.25">
      <c r="A19" t="s">
        <v>8</v>
      </c>
    </row>
    <row r="20" spans="1:1" x14ac:dyDescent="0.25">
      <c r="A20" t="s">
        <v>9</v>
      </c>
    </row>
    <row r="21" spans="1:1" x14ac:dyDescent="0.25">
      <c r="A21" t="s">
        <v>10</v>
      </c>
    </row>
    <row r="22" spans="1:1" x14ac:dyDescent="0.25">
      <c r="A22" t="s">
        <v>11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18</v>
      </c>
    </row>
    <row r="31" spans="1:1" x14ac:dyDescent="0.25">
      <c r="A31" t="s">
        <v>19</v>
      </c>
    </row>
    <row r="33" spans="1:1" x14ac:dyDescent="0.25">
      <c r="A33" t="s">
        <v>20</v>
      </c>
    </row>
    <row r="34" spans="1:1" x14ac:dyDescent="0.25">
      <c r="A34" t="s">
        <v>21</v>
      </c>
    </row>
    <row r="35" spans="1:1" x14ac:dyDescent="0.25">
      <c r="A35" t="s">
        <v>22</v>
      </c>
    </row>
    <row r="36" spans="1:1" x14ac:dyDescent="0.25">
      <c r="A36" t="s">
        <v>23</v>
      </c>
    </row>
    <row r="37" spans="1:1" x14ac:dyDescent="0.25">
      <c r="A37" t="s">
        <v>24</v>
      </c>
    </row>
    <row r="38" spans="1:1" x14ac:dyDescent="0.25">
      <c r="A38" t="s">
        <v>25</v>
      </c>
    </row>
    <row r="39" spans="1:1" x14ac:dyDescent="0.25">
      <c r="A39" t="s">
        <v>26</v>
      </c>
    </row>
    <row r="40" spans="1:1" x14ac:dyDescent="0.25">
      <c r="A40" t="s">
        <v>27</v>
      </c>
    </row>
    <row r="41" spans="1:1" x14ac:dyDescent="0.25">
      <c r="A41" t="s">
        <v>28</v>
      </c>
    </row>
    <row r="42" spans="1:1" x14ac:dyDescent="0.25">
      <c r="A42" t="s">
        <v>29</v>
      </c>
    </row>
    <row r="43" spans="1:1" x14ac:dyDescent="0.25">
      <c r="A43" t="s">
        <v>30</v>
      </c>
    </row>
    <row r="44" spans="1:1" x14ac:dyDescent="0.25">
      <c r="A44" t="s">
        <v>31</v>
      </c>
    </row>
    <row r="45" spans="1:1" x14ac:dyDescent="0.25">
      <c r="A45" t="s">
        <v>32</v>
      </c>
    </row>
    <row r="46" spans="1:1" x14ac:dyDescent="0.25">
      <c r="A46" t="s">
        <v>33</v>
      </c>
    </row>
    <row r="47" spans="1:1" x14ac:dyDescent="0.25">
      <c r="A47" t="s">
        <v>34</v>
      </c>
    </row>
    <row r="49" spans="1:1" x14ac:dyDescent="0.25">
      <c r="A49" t="s">
        <v>35</v>
      </c>
    </row>
    <row r="51" spans="1:1" x14ac:dyDescent="0.25">
      <c r="A51" t="s">
        <v>36</v>
      </c>
    </row>
    <row r="52" spans="1:1" x14ac:dyDescent="0.25">
      <c r="A52" t="s">
        <v>37</v>
      </c>
    </row>
    <row r="53" spans="1:1" x14ac:dyDescent="0.25">
      <c r="A53" t="s">
        <v>38</v>
      </c>
    </row>
    <row r="54" spans="1:1" x14ac:dyDescent="0.25">
      <c r="A54" t="s">
        <v>39</v>
      </c>
    </row>
    <row r="55" spans="1:1" x14ac:dyDescent="0.25">
      <c r="A55" t="s">
        <v>40</v>
      </c>
    </row>
    <row r="56" spans="1:1" x14ac:dyDescent="0.25">
      <c r="A56" t="s">
        <v>41</v>
      </c>
    </row>
    <row r="57" spans="1:1" x14ac:dyDescent="0.25">
      <c r="A57" t="s">
        <v>42</v>
      </c>
    </row>
    <row r="58" spans="1:1" x14ac:dyDescent="0.25">
      <c r="A58" t="s">
        <v>43</v>
      </c>
    </row>
    <row r="60" spans="1:1" x14ac:dyDescent="0.25">
      <c r="A60" t="s">
        <v>44</v>
      </c>
    </row>
    <row r="62" spans="1:1" x14ac:dyDescent="0.25">
      <c r="A62" t="s">
        <v>45</v>
      </c>
    </row>
    <row r="63" spans="1:1" x14ac:dyDescent="0.25">
      <c r="A63" t="s">
        <v>46</v>
      </c>
    </row>
    <row r="64" spans="1:1" x14ac:dyDescent="0.25">
      <c r="A64" t="s">
        <v>47</v>
      </c>
    </row>
    <row r="65" spans="1:1" x14ac:dyDescent="0.25">
      <c r="A65" t="s">
        <v>48</v>
      </c>
    </row>
    <row r="66" spans="1:1" x14ac:dyDescent="0.25">
      <c r="A66" t="s">
        <v>49</v>
      </c>
    </row>
    <row r="67" spans="1:1" x14ac:dyDescent="0.25">
      <c r="A67" t="s">
        <v>50</v>
      </c>
    </row>
    <row r="68" spans="1:1" x14ac:dyDescent="0.25">
      <c r="A68" t="s">
        <v>51</v>
      </c>
    </row>
    <row r="70" spans="1:1" x14ac:dyDescent="0.25">
      <c r="A70" t="s">
        <v>52</v>
      </c>
    </row>
    <row r="72" spans="1:1" x14ac:dyDescent="0.25">
      <c r="A72" t="s">
        <v>53</v>
      </c>
    </row>
    <row r="73" spans="1:1" x14ac:dyDescent="0.25">
      <c r="A73" t="s">
        <v>54</v>
      </c>
    </row>
    <row r="74" spans="1:1" x14ac:dyDescent="0.25">
      <c r="A74" t="s">
        <v>55</v>
      </c>
    </row>
    <row r="75" spans="1:1" x14ac:dyDescent="0.25">
      <c r="A75" t="s">
        <v>56</v>
      </c>
    </row>
    <row r="76" spans="1:1" x14ac:dyDescent="0.25">
      <c r="A76" t="s">
        <v>57</v>
      </c>
    </row>
    <row r="77" spans="1:1" x14ac:dyDescent="0.25">
      <c r="A77" t="s">
        <v>58</v>
      </c>
    </row>
    <row r="78" spans="1:1" x14ac:dyDescent="0.25">
      <c r="A78" t="s">
        <v>59</v>
      </c>
    </row>
    <row r="80" spans="1:1" x14ac:dyDescent="0.25">
      <c r="A80" t="s">
        <v>60</v>
      </c>
    </row>
    <row r="82" spans="1:1" x14ac:dyDescent="0.25">
      <c r="A82" t="s">
        <v>61</v>
      </c>
    </row>
    <row r="83" spans="1:1" x14ac:dyDescent="0.25">
      <c r="A83" t="s">
        <v>62</v>
      </c>
    </row>
    <row r="84" spans="1:1" x14ac:dyDescent="0.25">
      <c r="A84" t="s">
        <v>63</v>
      </c>
    </row>
    <row r="85" spans="1:1" x14ac:dyDescent="0.25">
      <c r="A85" t="s">
        <v>64</v>
      </c>
    </row>
    <row r="86" spans="1:1" x14ac:dyDescent="0.25">
      <c r="A86" t="s">
        <v>65</v>
      </c>
    </row>
    <row r="87" spans="1:1" x14ac:dyDescent="0.25">
      <c r="A87" t="s">
        <v>66</v>
      </c>
    </row>
    <row r="88" spans="1:1" x14ac:dyDescent="0.25">
      <c r="A88" t="s">
        <v>67</v>
      </c>
    </row>
    <row r="89" spans="1:1" x14ac:dyDescent="0.25">
      <c r="A89" t="s">
        <v>68</v>
      </c>
    </row>
    <row r="90" spans="1:1" x14ac:dyDescent="0.25">
      <c r="A90" t="s">
        <v>69</v>
      </c>
    </row>
    <row r="91" spans="1:1" x14ac:dyDescent="0.25">
      <c r="A91" t="s">
        <v>70</v>
      </c>
    </row>
    <row r="92" spans="1:1" x14ac:dyDescent="0.25">
      <c r="A92" t="s">
        <v>71</v>
      </c>
    </row>
    <row r="93" spans="1:1" x14ac:dyDescent="0.25">
      <c r="A93" t="s">
        <v>72</v>
      </c>
    </row>
    <row r="94" spans="1:1" x14ac:dyDescent="0.25">
      <c r="A94" t="s">
        <v>73</v>
      </c>
    </row>
    <row r="96" spans="1:1" x14ac:dyDescent="0.25">
      <c r="A96" t="s">
        <v>74</v>
      </c>
    </row>
    <row r="98" spans="1:3" x14ac:dyDescent="0.25">
      <c r="A98" t="s">
        <v>75</v>
      </c>
    </row>
    <row r="99" spans="1:3" x14ac:dyDescent="0.25">
      <c r="A99" t="s">
        <v>76</v>
      </c>
    </row>
    <row r="100" spans="1:3" x14ac:dyDescent="0.25">
      <c r="A100" t="s">
        <v>77</v>
      </c>
    </row>
    <row r="101" spans="1:3" x14ac:dyDescent="0.25">
      <c r="A101" t="s">
        <v>78</v>
      </c>
    </row>
    <row r="102" spans="1:3" x14ac:dyDescent="0.25">
      <c r="A102" t="s">
        <v>79</v>
      </c>
    </row>
    <row r="103" spans="1:3" x14ac:dyDescent="0.25">
      <c r="A103" t="s">
        <v>52</v>
      </c>
    </row>
    <row r="104" spans="1:3" x14ac:dyDescent="0.25">
      <c r="A104" t="s">
        <v>49</v>
      </c>
    </row>
    <row r="105" spans="1:3" x14ac:dyDescent="0.25">
      <c r="A105" t="s">
        <v>80</v>
      </c>
    </row>
    <row r="107" spans="1:3" x14ac:dyDescent="0.25">
      <c r="A107" t="s">
        <v>81</v>
      </c>
    </row>
    <row r="108" spans="1:3" x14ac:dyDescent="0.25">
      <c r="A108" t="s">
        <v>82</v>
      </c>
    </row>
    <row r="109" spans="1:3" x14ac:dyDescent="0.25">
      <c r="A109" t="s">
        <v>83</v>
      </c>
    </row>
    <row r="110" spans="1:3" x14ac:dyDescent="0.25">
      <c r="A110" t="s">
        <v>275</v>
      </c>
    </row>
    <row r="111" spans="1:3" x14ac:dyDescent="0.25">
      <c r="A111" t="s">
        <v>276</v>
      </c>
    </row>
    <row r="112" spans="1:3" x14ac:dyDescent="0.25">
      <c r="A112" t="s">
        <v>84</v>
      </c>
      <c r="C112" t="s">
        <v>85</v>
      </c>
    </row>
    <row r="113" spans="1:4" x14ac:dyDescent="0.25">
      <c r="A113" t="s">
        <v>86</v>
      </c>
    </row>
    <row r="114" spans="1:4" x14ac:dyDescent="0.25">
      <c r="B114" t="s">
        <v>87</v>
      </c>
      <c r="C114" t="s">
        <v>88</v>
      </c>
      <c r="D114" t="s">
        <v>89</v>
      </c>
    </row>
    <row r="115" spans="1:4" x14ac:dyDescent="0.25">
      <c r="A115" t="s">
        <v>90</v>
      </c>
    </row>
    <row r="116" spans="1:4" x14ac:dyDescent="0.25">
      <c r="A116" t="s">
        <v>91</v>
      </c>
      <c r="B116" t="s">
        <v>221</v>
      </c>
      <c r="C116" t="s">
        <v>95</v>
      </c>
    </row>
    <row r="117" spans="1:4" x14ac:dyDescent="0.25">
      <c r="A117" t="s">
        <v>93</v>
      </c>
      <c r="B117" t="s">
        <v>92</v>
      </c>
      <c r="C117" t="s">
        <v>92</v>
      </c>
      <c r="D117" t="s">
        <v>277</v>
      </c>
    </row>
    <row r="118" spans="1:4" x14ac:dyDescent="0.25">
      <c r="A118" t="s">
        <v>94</v>
      </c>
      <c r="B118" t="s">
        <v>220</v>
      </c>
      <c r="C118" t="s">
        <v>222</v>
      </c>
      <c r="D118" t="s">
        <v>278</v>
      </c>
    </row>
    <row r="119" spans="1:4" x14ac:dyDescent="0.25">
      <c r="A119" t="s">
        <v>96</v>
      </c>
    </row>
    <row r="120" spans="1:4" x14ac:dyDescent="0.25">
      <c r="A120" t="s">
        <v>97</v>
      </c>
      <c r="B120">
        <v>10</v>
      </c>
      <c r="C120">
        <v>8</v>
      </c>
    </row>
    <row r="121" spans="1:4" x14ac:dyDescent="0.25">
      <c r="A121" t="s">
        <v>98</v>
      </c>
      <c r="B121">
        <v>135</v>
      </c>
      <c r="C121">
        <v>110</v>
      </c>
    </row>
    <row r="122" spans="1:4" x14ac:dyDescent="0.25">
      <c r="A122" t="s">
        <v>99</v>
      </c>
      <c r="B122">
        <v>137</v>
      </c>
      <c r="C122">
        <v>130</v>
      </c>
    </row>
    <row r="123" spans="1:4" x14ac:dyDescent="0.25">
      <c r="A123" t="s">
        <v>100</v>
      </c>
      <c r="B123">
        <v>0</v>
      </c>
      <c r="C123">
        <v>1</v>
      </c>
    </row>
    <row r="124" spans="1:4" x14ac:dyDescent="0.25">
      <c r="A124" t="s">
        <v>101</v>
      </c>
      <c r="B124">
        <v>85</v>
      </c>
      <c r="C124">
        <v>64</v>
      </c>
    </row>
    <row r="125" spans="1:4" x14ac:dyDescent="0.25">
      <c r="A125" t="s">
        <v>102</v>
      </c>
      <c r="B125">
        <v>1038</v>
      </c>
      <c r="C125">
        <v>646</v>
      </c>
    </row>
    <row r="126" spans="1:4" x14ac:dyDescent="0.25">
      <c r="A126" t="s">
        <v>103</v>
      </c>
      <c r="B126" t="s">
        <v>279</v>
      </c>
    </row>
    <row r="127" spans="1:4" x14ac:dyDescent="0.25">
      <c r="A127" t="s">
        <v>104</v>
      </c>
    </row>
    <row r="128" spans="1:4" x14ac:dyDescent="0.25">
      <c r="A128" t="s">
        <v>105</v>
      </c>
      <c r="B128" t="s">
        <v>220</v>
      </c>
    </row>
    <row r="129" spans="1:4" x14ac:dyDescent="0.25">
      <c r="A129" t="s">
        <v>106</v>
      </c>
      <c r="B129">
        <v>65</v>
      </c>
    </row>
    <row r="130" spans="1:4" x14ac:dyDescent="0.25">
      <c r="A130" t="s">
        <v>107</v>
      </c>
      <c r="B130">
        <v>89</v>
      </c>
    </row>
    <row r="131" spans="1:4" x14ac:dyDescent="0.25">
      <c r="A131" t="s">
        <v>108</v>
      </c>
      <c r="B131">
        <v>40</v>
      </c>
    </row>
    <row r="132" spans="1:4" x14ac:dyDescent="0.25">
      <c r="A132" t="s">
        <v>109</v>
      </c>
    </row>
    <row r="133" spans="1:4" x14ac:dyDescent="0.25">
      <c r="A133" t="s">
        <v>109</v>
      </c>
      <c r="B133" t="s">
        <v>110</v>
      </c>
      <c r="C133" t="s">
        <v>226</v>
      </c>
      <c r="D133" t="s">
        <v>280</v>
      </c>
    </row>
    <row r="134" spans="1:4" x14ac:dyDescent="0.25">
      <c r="A134" t="s">
        <v>111</v>
      </c>
      <c r="B134">
        <v>4.2699999999999996</v>
      </c>
      <c r="C134">
        <v>3.34</v>
      </c>
    </row>
    <row r="135" spans="1:4" x14ac:dyDescent="0.25">
      <c r="A135" t="s">
        <v>112</v>
      </c>
      <c r="B135">
        <v>27.68</v>
      </c>
      <c r="C135">
        <v>30.54</v>
      </c>
    </row>
    <row r="136" spans="1:4" x14ac:dyDescent="0.25">
      <c r="A136" t="s">
        <v>113</v>
      </c>
    </row>
    <row r="137" spans="1:4" x14ac:dyDescent="0.25">
      <c r="A137" t="s">
        <v>113</v>
      </c>
      <c r="B137" t="s">
        <v>110</v>
      </c>
      <c r="C137" t="s">
        <v>110</v>
      </c>
      <c r="D137" t="s">
        <v>114</v>
      </c>
    </row>
    <row r="138" spans="1:4" x14ac:dyDescent="0.25">
      <c r="A138" t="s">
        <v>115</v>
      </c>
      <c r="B138">
        <v>0</v>
      </c>
      <c r="C138">
        <v>0</v>
      </c>
    </row>
    <row r="139" spans="1:4" x14ac:dyDescent="0.25">
      <c r="A139" t="s">
        <v>116</v>
      </c>
      <c r="B139">
        <v>0</v>
      </c>
      <c r="C139">
        <v>0</v>
      </c>
    </row>
    <row r="140" spans="1:4" x14ac:dyDescent="0.25">
      <c r="A140" t="s">
        <v>227</v>
      </c>
      <c r="B140">
        <v>0</v>
      </c>
      <c r="C140">
        <v>0</v>
      </c>
    </row>
    <row r="141" spans="1:4" x14ac:dyDescent="0.25">
      <c r="A141" t="s">
        <v>117</v>
      </c>
      <c r="B141" t="s">
        <v>110</v>
      </c>
    </row>
    <row r="142" spans="1:4" x14ac:dyDescent="0.25">
      <c r="A142" t="s">
        <v>119</v>
      </c>
    </row>
    <row r="143" spans="1:4" x14ac:dyDescent="0.25">
      <c r="A143" t="s">
        <v>119</v>
      </c>
      <c r="B143" t="s">
        <v>251</v>
      </c>
    </row>
    <row r="144" spans="1:4" x14ac:dyDescent="0.25">
      <c r="A144" t="s">
        <v>120</v>
      </c>
    </row>
    <row r="145" spans="1:3" x14ac:dyDescent="0.25">
      <c r="A145" t="s">
        <v>121</v>
      </c>
      <c r="B145" t="s">
        <v>281</v>
      </c>
    </row>
    <row r="146" spans="1:3" x14ac:dyDescent="0.25">
      <c r="A146" t="s">
        <v>122</v>
      </c>
      <c r="B146" t="s">
        <v>282</v>
      </c>
    </row>
    <row r="147" spans="1:3" x14ac:dyDescent="0.25">
      <c r="A147" t="s">
        <v>123</v>
      </c>
      <c r="B147" t="s">
        <v>283</v>
      </c>
    </row>
    <row r="148" spans="1:3" x14ac:dyDescent="0.25">
      <c r="A148" t="s">
        <v>124</v>
      </c>
      <c r="B148" t="s">
        <v>244</v>
      </c>
    </row>
    <row r="149" spans="1:3" x14ac:dyDescent="0.25">
      <c r="A149" t="s">
        <v>125</v>
      </c>
      <c r="B149" t="s">
        <v>269</v>
      </c>
    </row>
    <row r="150" spans="1:3" x14ac:dyDescent="0.25">
      <c r="A150" t="s">
        <v>126</v>
      </c>
      <c r="C150" t="s">
        <v>127</v>
      </c>
    </row>
    <row r="151" spans="1:3" x14ac:dyDescent="0.25">
      <c r="A151" t="s">
        <v>128</v>
      </c>
    </row>
    <row r="152" spans="1:3" x14ac:dyDescent="0.25">
      <c r="A152" t="s">
        <v>129</v>
      </c>
    </row>
    <row r="153" spans="1:3" x14ac:dyDescent="0.25">
      <c r="A153" t="s">
        <v>130</v>
      </c>
    </row>
    <row r="154" spans="1:3" x14ac:dyDescent="0.25">
      <c r="A154" t="s">
        <v>131</v>
      </c>
    </row>
    <row r="155" spans="1:3" x14ac:dyDescent="0.25">
      <c r="A155" t="s">
        <v>132</v>
      </c>
      <c r="B155" t="s">
        <v>133</v>
      </c>
    </row>
    <row r="157" spans="1:3" x14ac:dyDescent="0.25">
      <c r="A157" t="s">
        <v>134</v>
      </c>
    </row>
    <row r="158" spans="1:3" x14ac:dyDescent="0.25">
      <c r="A158" t="s">
        <v>135</v>
      </c>
    </row>
    <row r="159" spans="1:3" x14ac:dyDescent="0.25">
      <c r="A159" t="s">
        <v>136</v>
      </c>
    </row>
    <row r="160" spans="1:3" x14ac:dyDescent="0.25">
      <c r="A160" t="s">
        <v>137</v>
      </c>
    </row>
    <row r="161" spans="1:3" x14ac:dyDescent="0.25">
      <c r="A161" t="s">
        <v>138</v>
      </c>
      <c r="B161" t="s">
        <v>139</v>
      </c>
    </row>
    <row r="162" spans="1:3" x14ac:dyDescent="0.25">
      <c r="B162" t="s">
        <v>140</v>
      </c>
    </row>
    <row r="163" spans="1:3" x14ac:dyDescent="0.25">
      <c r="A163" t="s">
        <v>141</v>
      </c>
    </row>
    <row r="164" spans="1:3" x14ac:dyDescent="0.25">
      <c r="A164" t="s">
        <v>284</v>
      </c>
      <c r="B164" t="s">
        <v>284</v>
      </c>
    </row>
    <row r="165" spans="1:3" x14ac:dyDescent="0.25">
      <c r="B165" t="s">
        <v>285</v>
      </c>
    </row>
    <row r="166" spans="1:3" x14ac:dyDescent="0.25">
      <c r="A166" t="s">
        <v>142</v>
      </c>
    </row>
    <row r="167" spans="1:3" x14ac:dyDescent="0.25">
      <c r="A167" t="s">
        <v>72</v>
      </c>
    </row>
    <row r="168" spans="1:3" x14ac:dyDescent="0.25">
      <c r="B168" t="s">
        <v>143</v>
      </c>
      <c r="C168" t="s">
        <v>144</v>
      </c>
    </row>
    <row r="169" spans="1:3" x14ac:dyDescent="0.25">
      <c r="A169" t="s">
        <v>145</v>
      </c>
      <c r="B169" t="s">
        <v>286</v>
      </c>
      <c r="C169" t="s">
        <v>287</v>
      </c>
    </row>
    <row r="170" spans="1:3" x14ac:dyDescent="0.25">
      <c r="A170" t="s">
        <v>146</v>
      </c>
      <c r="B170" t="s">
        <v>288</v>
      </c>
      <c r="C170" t="s">
        <v>289</v>
      </c>
    </row>
    <row r="171" spans="1:3" x14ac:dyDescent="0.25">
      <c r="A171" t="s">
        <v>147</v>
      </c>
      <c r="B171" t="s">
        <v>290</v>
      </c>
      <c r="C171" t="s">
        <v>291</v>
      </c>
    </row>
    <row r="172" spans="1:3" x14ac:dyDescent="0.25">
      <c r="A172" t="s">
        <v>148</v>
      </c>
      <c r="B172" t="s">
        <v>292</v>
      </c>
      <c r="C172" t="s">
        <v>293</v>
      </c>
    </row>
    <row r="173" spans="1:3" x14ac:dyDescent="0.25">
      <c r="A173" t="s">
        <v>149</v>
      </c>
      <c r="B173" t="s">
        <v>294</v>
      </c>
      <c r="C173" t="s">
        <v>295</v>
      </c>
    </row>
    <row r="174" spans="1:3" x14ac:dyDescent="0.25">
      <c r="A174" t="s">
        <v>150</v>
      </c>
      <c r="B174" t="s">
        <v>296</v>
      </c>
    </row>
    <row r="175" spans="1:3" x14ac:dyDescent="0.25">
      <c r="A175" t="s">
        <v>151</v>
      </c>
      <c r="B175" t="s">
        <v>297</v>
      </c>
    </row>
    <row r="176" spans="1:3" x14ac:dyDescent="0.25">
      <c r="A176" t="s">
        <v>274</v>
      </c>
    </row>
    <row r="177" spans="1:12" x14ac:dyDescent="0.25">
      <c r="A177" s="1">
        <v>41181</v>
      </c>
      <c r="B177" s="1">
        <v>41181</v>
      </c>
      <c r="C177" s="1">
        <v>41190</v>
      </c>
      <c r="D177" s="1">
        <v>41197</v>
      </c>
      <c r="E177" s="1">
        <v>41203</v>
      </c>
    </row>
    <row r="178" spans="1:12" x14ac:dyDescent="0.25">
      <c r="A178" t="s">
        <v>155</v>
      </c>
      <c r="B178" t="s">
        <v>155</v>
      </c>
      <c r="C178" t="s">
        <v>152</v>
      </c>
      <c r="D178" t="s">
        <v>153</v>
      </c>
      <c r="E178" t="s">
        <v>154</v>
      </c>
    </row>
    <row r="180" spans="1:12" x14ac:dyDescent="0.25">
      <c r="A180" t="s">
        <v>156</v>
      </c>
    </row>
    <row r="181" spans="1:12" x14ac:dyDescent="0.25">
      <c r="A181" t="s">
        <v>157</v>
      </c>
    </row>
    <row r="182" spans="1:12" x14ac:dyDescent="0.25">
      <c r="A182" t="s">
        <v>158</v>
      </c>
      <c r="B182" t="s">
        <v>159</v>
      </c>
      <c r="C182" t="s">
        <v>105</v>
      </c>
      <c r="D182" t="s">
        <v>160</v>
      </c>
      <c r="E182" t="s">
        <v>161</v>
      </c>
      <c r="F182" t="s">
        <v>124</v>
      </c>
      <c r="G182" t="s">
        <v>162</v>
      </c>
      <c r="H182" t="s">
        <v>121</v>
      </c>
      <c r="I182" t="s">
        <v>163</v>
      </c>
      <c r="J182" t="s">
        <v>164</v>
      </c>
      <c r="K182" t="s">
        <v>125</v>
      </c>
      <c r="L182" t="s">
        <v>165</v>
      </c>
    </row>
    <row r="183" spans="1:12" x14ac:dyDescent="0.25">
      <c r="A183" s="2">
        <v>3.5416666666666666E-2</v>
      </c>
      <c r="B183" t="s">
        <v>186</v>
      </c>
      <c r="C183" t="s">
        <v>240</v>
      </c>
      <c r="D183" s="3">
        <v>0.74</v>
      </c>
      <c r="E183" t="s">
        <v>189</v>
      </c>
      <c r="F183" t="s">
        <v>229</v>
      </c>
      <c r="G183" t="s">
        <v>174</v>
      </c>
      <c r="H183" t="s">
        <v>174</v>
      </c>
      <c r="I183" t="s">
        <v>118</v>
      </c>
      <c r="J183" t="s">
        <v>170</v>
      </c>
      <c r="L183" t="s">
        <v>178</v>
      </c>
    </row>
    <row r="184" spans="1:12" x14ac:dyDescent="0.25">
      <c r="A184" s="2">
        <v>7.7083333333333337E-2</v>
      </c>
      <c r="B184" t="s">
        <v>175</v>
      </c>
      <c r="C184" t="s">
        <v>239</v>
      </c>
      <c r="D184" s="3">
        <v>0.8</v>
      </c>
      <c r="E184" t="s">
        <v>228</v>
      </c>
      <c r="F184" t="s">
        <v>229</v>
      </c>
      <c r="G184" t="s">
        <v>174</v>
      </c>
      <c r="H184" t="s">
        <v>174</v>
      </c>
      <c r="I184" t="s">
        <v>118</v>
      </c>
      <c r="J184" t="s">
        <v>170</v>
      </c>
      <c r="L184" t="s">
        <v>172</v>
      </c>
    </row>
    <row r="185" spans="1:12" x14ac:dyDescent="0.25">
      <c r="A185" s="2">
        <v>0.11875000000000001</v>
      </c>
      <c r="B185" t="s">
        <v>177</v>
      </c>
      <c r="C185" t="s">
        <v>239</v>
      </c>
      <c r="D185" s="3">
        <v>0.82</v>
      </c>
      <c r="E185" t="s">
        <v>234</v>
      </c>
      <c r="F185" t="s">
        <v>229</v>
      </c>
      <c r="G185" t="s">
        <v>174</v>
      </c>
      <c r="H185" t="s">
        <v>174</v>
      </c>
      <c r="I185" t="s">
        <v>118</v>
      </c>
      <c r="J185" t="s">
        <v>170</v>
      </c>
      <c r="L185" t="s">
        <v>172</v>
      </c>
    </row>
    <row r="186" spans="1:12" x14ac:dyDescent="0.25">
      <c r="A186" s="2">
        <v>0.16041666666666668</v>
      </c>
      <c r="B186" t="s">
        <v>177</v>
      </c>
      <c r="C186" t="s">
        <v>240</v>
      </c>
      <c r="D186" s="3">
        <v>0.85</v>
      </c>
      <c r="E186" t="s">
        <v>232</v>
      </c>
      <c r="F186" t="s">
        <v>229</v>
      </c>
      <c r="G186" t="s">
        <v>174</v>
      </c>
      <c r="H186" t="s">
        <v>174</v>
      </c>
      <c r="I186" t="s">
        <v>118</v>
      </c>
      <c r="J186" t="s">
        <v>170</v>
      </c>
      <c r="L186" t="s">
        <v>172</v>
      </c>
    </row>
    <row r="187" spans="1:12" x14ac:dyDescent="0.25">
      <c r="A187" s="2">
        <v>0.20208333333333331</v>
      </c>
      <c r="B187" t="s">
        <v>177</v>
      </c>
      <c r="C187" t="s">
        <v>239</v>
      </c>
      <c r="D187" s="3">
        <v>0.82</v>
      </c>
      <c r="E187" t="s">
        <v>232</v>
      </c>
      <c r="F187" t="s">
        <v>235</v>
      </c>
      <c r="G187" t="s">
        <v>174</v>
      </c>
      <c r="H187" t="s">
        <v>174</v>
      </c>
      <c r="I187" t="s">
        <v>118</v>
      </c>
      <c r="J187" t="s">
        <v>170</v>
      </c>
      <c r="L187" t="s">
        <v>172</v>
      </c>
    </row>
    <row r="188" spans="1:12" x14ac:dyDescent="0.25">
      <c r="A188" s="2">
        <v>0.24374999999999999</v>
      </c>
      <c r="B188" t="s">
        <v>173</v>
      </c>
      <c r="C188" t="s">
        <v>239</v>
      </c>
      <c r="D188" s="3">
        <v>0.86</v>
      </c>
      <c r="E188" t="s">
        <v>232</v>
      </c>
      <c r="F188" t="s">
        <v>235</v>
      </c>
      <c r="G188" t="s">
        <v>174</v>
      </c>
      <c r="H188" t="s">
        <v>174</v>
      </c>
      <c r="I188" t="s">
        <v>118</v>
      </c>
      <c r="J188" t="s">
        <v>170</v>
      </c>
      <c r="L188" t="s">
        <v>172</v>
      </c>
    </row>
    <row r="189" spans="1:12" x14ac:dyDescent="0.25">
      <c r="A189" s="2">
        <v>0.28541666666666665</v>
      </c>
      <c r="B189" t="s">
        <v>175</v>
      </c>
      <c r="C189" t="s">
        <v>240</v>
      </c>
      <c r="D189" s="3">
        <v>0.82</v>
      </c>
      <c r="E189" t="s">
        <v>262</v>
      </c>
      <c r="F189" t="s">
        <v>235</v>
      </c>
      <c r="G189" t="s">
        <v>174</v>
      </c>
      <c r="H189" t="s">
        <v>174</v>
      </c>
      <c r="I189" t="s">
        <v>118</v>
      </c>
      <c r="J189" t="s">
        <v>170</v>
      </c>
      <c r="L189" t="s">
        <v>188</v>
      </c>
    </row>
    <row r="190" spans="1:12" x14ac:dyDescent="0.25">
      <c r="A190" s="2">
        <v>0.32708333333333334</v>
      </c>
      <c r="B190" t="s">
        <v>175</v>
      </c>
      <c r="C190" t="s">
        <v>240</v>
      </c>
      <c r="D190" s="3">
        <v>0.82</v>
      </c>
      <c r="E190" t="s">
        <v>234</v>
      </c>
      <c r="F190" t="s">
        <v>253</v>
      </c>
      <c r="G190" t="s">
        <v>174</v>
      </c>
      <c r="H190" t="s">
        <v>174</v>
      </c>
      <c r="I190" t="s">
        <v>118</v>
      </c>
      <c r="J190" t="s">
        <v>170</v>
      </c>
      <c r="K190" t="s">
        <v>269</v>
      </c>
      <c r="L190" t="s">
        <v>298</v>
      </c>
    </row>
    <row r="191" spans="1:12" x14ac:dyDescent="0.25">
      <c r="A191" s="2">
        <v>0.36874999999999997</v>
      </c>
      <c r="B191" t="s">
        <v>184</v>
      </c>
      <c r="C191" t="s">
        <v>173</v>
      </c>
      <c r="D191" s="3">
        <v>0.8</v>
      </c>
      <c r="E191" t="s">
        <v>232</v>
      </c>
      <c r="F191" t="s">
        <v>252</v>
      </c>
      <c r="G191" t="s">
        <v>231</v>
      </c>
      <c r="H191" t="s">
        <v>185</v>
      </c>
      <c r="I191" t="s">
        <v>118</v>
      </c>
      <c r="J191" t="s">
        <v>170</v>
      </c>
      <c r="K191" t="s">
        <v>269</v>
      </c>
      <c r="L191" t="s">
        <v>298</v>
      </c>
    </row>
    <row r="192" spans="1:12" x14ac:dyDescent="0.25">
      <c r="A192" s="2">
        <v>0.41041666666666665</v>
      </c>
      <c r="B192" t="s">
        <v>176</v>
      </c>
      <c r="C192" t="s">
        <v>173</v>
      </c>
      <c r="D192" s="3">
        <v>0.64</v>
      </c>
      <c r="E192" t="s">
        <v>234</v>
      </c>
      <c r="F192" t="s">
        <v>253</v>
      </c>
      <c r="G192" t="s">
        <v>183</v>
      </c>
      <c r="H192" t="s">
        <v>185</v>
      </c>
      <c r="I192" t="s">
        <v>118</v>
      </c>
      <c r="J192" t="s">
        <v>170</v>
      </c>
      <c r="L192" t="s">
        <v>238</v>
      </c>
    </row>
    <row r="193" spans="1:12" x14ac:dyDescent="0.25">
      <c r="A193" s="2">
        <v>0.45208333333333334</v>
      </c>
      <c r="B193" t="s">
        <v>260</v>
      </c>
      <c r="C193" t="s">
        <v>173</v>
      </c>
      <c r="D193" s="3">
        <v>0.53</v>
      </c>
      <c r="E193" t="s">
        <v>232</v>
      </c>
      <c r="F193" t="s">
        <v>237</v>
      </c>
      <c r="G193" t="s">
        <v>233</v>
      </c>
      <c r="H193" t="s">
        <v>181</v>
      </c>
      <c r="I193" t="s">
        <v>118</v>
      </c>
      <c r="J193" t="s">
        <v>170</v>
      </c>
      <c r="L193" t="s">
        <v>238</v>
      </c>
    </row>
    <row r="194" spans="1:12" x14ac:dyDescent="0.25">
      <c r="A194" s="2">
        <v>0.49374999999999997</v>
      </c>
      <c r="B194" t="s">
        <v>265</v>
      </c>
      <c r="C194" t="s">
        <v>173</v>
      </c>
      <c r="D194" s="3">
        <v>0.5</v>
      </c>
      <c r="E194" t="s">
        <v>256</v>
      </c>
      <c r="F194" t="s">
        <v>237</v>
      </c>
      <c r="G194" t="s">
        <v>174</v>
      </c>
      <c r="H194" t="s">
        <v>174</v>
      </c>
      <c r="I194" t="s">
        <v>118</v>
      </c>
      <c r="J194" t="s">
        <v>170</v>
      </c>
      <c r="L194" t="s">
        <v>238</v>
      </c>
    </row>
    <row r="195" spans="1:12" x14ac:dyDescent="0.25">
      <c r="A195" s="2">
        <v>0.53541666666666665</v>
      </c>
      <c r="B195" t="s">
        <v>261</v>
      </c>
      <c r="C195" t="s">
        <v>173</v>
      </c>
      <c r="D195" s="3">
        <v>0.46</v>
      </c>
      <c r="E195" t="s">
        <v>254</v>
      </c>
      <c r="F195" t="s">
        <v>230</v>
      </c>
      <c r="G195" t="s">
        <v>174</v>
      </c>
      <c r="H195" t="s">
        <v>174</v>
      </c>
      <c r="I195" t="s">
        <v>118</v>
      </c>
      <c r="J195" t="s">
        <v>170</v>
      </c>
      <c r="L195" t="s">
        <v>188</v>
      </c>
    </row>
    <row r="196" spans="1:12" x14ac:dyDescent="0.25">
      <c r="A196" s="2">
        <v>0.57708333333333328</v>
      </c>
      <c r="B196" t="s">
        <v>180</v>
      </c>
      <c r="C196" t="s">
        <v>173</v>
      </c>
      <c r="D196" s="3">
        <v>0.42</v>
      </c>
      <c r="E196" t="s">
        <v>263</v>
      </c>
      <c r="F196" t="s">
        <v>237</v>
      </c>
      <c r="G196" t="s">
        <v>182</v>
      </c>
      <c r="H196" t="s">
        <v>169</v>
      </c>
      <c r="I196" t="s">
        <v>118</v>
      </c>
      <c r="J196" t="s">
        <v>170</v>
      </c>
      <c r="L196" t="s">
        <v>238</v>
      </c>
    </row>
    <row r="197" spans="1:12" x14ac:dyDescent="0.25">
      <c r="A197" s="2">
        <v>0.61875000000000002</v>
      </c>
      <c r="B197" t="s">
        <v>264</v>
      </c>
      <c r="C197" t="s">
        <v>177</v>
      </c>
      <c r="D197" s="3">
        <v>0.45</v>
      </c>
      <c r="E197" t="s">
        <v>250</v>
      </c>
      <c r="F197" t="s">
        <v>237</v>
      </c>
      <c r="G197" t="s">
        <v>183</v>
      </c>
      <c r="H197" t="s">
        <v>169</v>
      </c>
      <c r="I197" t="s">
        <v>118</v>
      </c>
      <c r="J197" t="s">
        <v>170</v>
      </c>
      <c r="L197" t="s">
        <v>238</v>
      </c>
    </row>
    <row r="198" spans="1:12" x14ac:dyDescent="0.25">
      <c r="A198" s="2">
        <v>0.66041666666666665</v>
      </c>
      <c r="B198" t="s">
        <v>264</v>
      </c>
      <c r="C198" t="s">
        <v>167</v>
      </c>
      <c r="D198" s="3">
        <v>0.4</v>
      </c>
      <c r="E198" t="s">
        <v>249</v>
      </c>
      <c r="F198" t="s">
        <v>229</v>
      </c>
      <c r="G198" t="s">
        <v>233</v>
      </c>
      <c r="H198" t="s">
        <v>169</v>
      </c>
      <c r="I198" t="s">
        <v>118</v>
      </c>
      <c r="J198" t="s">
        <v>170</v>
      </c>
      <c r="L198" t="s">
        <v>188</v>
      </c>
    </row>
    <row r="199" spans="1:12" x14ac:dyDescent="0.25">
      <c r="A199" s="2">
        <v>0.70208333333333339</v>
      </c>
      <c r="B199" t="s">
        <v>264</v>
      </c>
      <c r="C199" t="s">
        <v>171</v>
      </c>
      <c r="D199" s="3">
        <v>0.42</v>
      </c>
      <c r="E199" t="s">
        <v>247</v>
      </c>
      <c r="F199" t="s">
        <v>229</v>
      </c>
      <c r="G199" t="s">
        <v>233</v>
      </c>
      <c r="H199" t="s">
        <v>181</v>
      </c>
      <c r="I199" t="s">
        <v>118</v>
      </c>
      <c r="J199" t="s">
        <v>170</v>
      </c>
      <c r="L199" t="s">
        <v>188</v>
      </c>
    </row>
    <row r="200" spans="1:12" x14ac:dyDescent="0.25">
      <c r="A200" s="2">
        <v>0.74375000000000002</v>
      </c>
      <c r="B200" t="s">
        <v>268</v>
      </c>
      <c r="C200" t="s">
        <v>173</v>
      </c>
      <c r="D200" s="3">
        <v>0.48</v>
      </c>
      <c r="E200" t="s">
        <v>247</v>
      </c>
      <c r="F200" t="s">
        <v>230</v>
      </c>
      <c r="G200" t="s">
        <v>168</v>
      </c>
      <c r="H200" t="s">
        <v>236</v>
      </c>
      <c r="I200" t="s">
        <v>118</v>
      </c>
      <c r="J200" t="s">
        <v>170</v>
      </c>
      <c r="L200" t="s">
        <v>188</v>
      </c>
    </row>
    <row r="201" spans="1:12" x14ac:dyDescent="0.25">
      <c r="A201" s="2">
        <v>0.78541666666666676</v>
      </c>
      <c r="B201" t="s">
        <v>260</v>
      </c>
      <c r="C201" t="s">
        <v>175</v>
      </c>
      <c r="D201" s="3">
        <v>0.56999999999999995</v>
      </c>
      <c r="E201" t="s">
        <v>247</v>
      </c>
      <c r="F201" t="s">
        <v>230</v>
      </c>
      <c r="G201" t="s">
        <v>168</v>
      </c>
      <c r="H201" t="s">
        <v>181</v>
      </c>
      <c r="I201" t="s">
        <v>118</v>
      </c>
      <c r="J201" t="s">
        <v>170</v>
      </c>
      <c r="L201" t="s">
        <v>188</v>
      </c>
    </row>
    <row r="202" spans="1:12" x14ac:dyDescent="0.25">
      <c r="A202" s="2">
        <v>0.82708333333333339</v>
      </c>
      <c r="B202" t="s">
        <v>166</v>
      </c>
      <c r="C202" t="s">
        <v>175</v>
      </c>
      <c r="D202" s="3">
        <v>0.62</v>
      </c>
      <c r="E202" t="s">
        <v>247</v>
      </c>
      <c r="F202" t="s">
        <v>229</v>
      </c>
      <c r="G202" t="s">
        <v>168</v>
      </c>
      <c r="H202" t="s">
        <v>185</v>
      </c>
      <c r="I202" t="s">
        <v>118</v>
      </c>
      <c r="J202" t="s">
        <v>170</v>
      </c>
      <c r="L202" t="s">
        <v>188</v>
      </c>
    </row>
    <row r="203" spans="1:12" x14ac:dyDescent="0.25">
      <c r="A203" s="2">
        <v>0.86875000000000002</v>
      </c>
      <c r="B203" t="s">
        <v>176</v>
      </c>
      <c r="C203" t="s">
        <v>179</v>
      </c>
      <c r="D203" s="3">
        <v>0.72</v>
      </c>
      <c r="E203" t="s">
        <v>247</v>
      </c>
      <c r="F203" t="s">
        <v>230</v>
      </c>
      <c r="G203" t="s">
        <v>174</v>
      </c>
      <c r="H203" t="s">
        <v>174</v>
      </c>
      <c r="I203" t="s">
        <v>118</v>
      </c>
      <c r="J203" t="s">
        <v>170</v>
      </c>
      <c r="L203" t="s">
        <v>178</v>
      </c>
    </row>
    <row r="204" spans="1:12" x14ac:dyDescent="0.25">
      <c r="A204" s="2">
        <v>0.91041666666666676</v>
      </c>
      <c r="B204" t="s">
        <v>255</v>
      </c>
      <c r="C204" t="s">
        <v>175</v>
      </c>
      <c r="D204" s="3">
        <v>0.77</v>
      </c>
      <c r="E204" t="s">
        <v>247</v>
      </c>
      <c r="F204" t="s">
        <v>230</v>
      </c>
      <c r="G204" t="s">
        <v>174</v>
      </c>
      <c r="H204" t="s">
        <v>174</v>
      </c>
      <c r="I204" t="s">
        <v>118</v>
      </c>
      <c r="J204" t="s">
        <v>170</v>
      </c>
      <c r="L204" t="s">
        <v>172</v>
      </c>
    </row>
    <row r="205" spans="1:12" x14ac:dyDescent="0.25">
      <c r="A205" s="2">
        <v>0.95208333333333339</v>
      </c>
      <c r="B205" t="s">
        <v>187</v>
      </c>
      <c r="C205" t="s">
        <v>175</v>
      </c>
      <c r="D205" s="3">
        <v>0.8</v>
      </c>
      <c r="E205" t="s">
        <v>248</v>
      </c>
      <c r="F205" t="s">
        <v>235</v>
      </c>
      <c r="G205" t="s">
        <v>174</v>
      </c>
      <c r="H205" t="s">
        <v>174</v>
      </c>
      <c r="I205" t="s">
        <v>118</v>
      </c>
      <c r="J205" t="s">
        <v>170</v>
      </c>
      <c r="L205" t="s">
        <v>172</v>
      </c>
    </row>
    <row r="206" spans="1:12" x14ac:dyDescent="0.25">
      <c r="A206" s="2">
        <v>0.99375000000000002</v>
      </c>
      <c r="B206" t="s">
        <v>184</v>
      </c>
      <c r="C206" t="s">
        <v>173</v>
      </c>
      <c r="D206" s="3">
        <v>0.8</v>
      </c>
      <c r="E206" t="s">
        <v>245</v>
      </c>
      <c r="F206" t="s">
        <v>235</v>
      </c>
      <c r="G206" t="s">
        <v>174</v>
      </c>
      <c r="H206" t="s">
        <v>174</v>
      </c>
      <c r="I206" t="s">
        <v>118</v>
      </c>
      <c r="J206" t="s">
        <v>170</v>
      </c>
      <c r="L206" t="s">
        <v>178</v>
      </c>
    </row>
    <row r="207" spans="1:12" x14ac:dyDescent="0.25">
      <c r="A207" t="s">
        <v>190</v>
      </c>
    </row>
    <row r="210" spans="1:1" x14ac:dyDescent="0.25">
      <c r="A210" t="s">
        <v>7</v>
      </c>
    </row>
    <row r="211" spans="1:1" x14ac:dyDescent="0.25">
      <c r="A211" t="s">
        <v>8</v>
      </c>
    </row>
    <row r="212" spans="1:1" x14ac:dyDescent="0.25">
      <c r="A212" t="s">
        <v>9</v>
      </c>
    </row>
    <row r="213" spans="1:1" x14ac:dyDescent="0.25">
      <c r="A213" t="s">
        <v>10</v>
      </c>
    </row>
    <row r="214" spans="1:1" x14ac:dyDescent="0.25">
      <c r="A214" t="s">
        <v>19</v>
      </c>
    </row>
    <row r="215" spans="1:1" x14ac:dyDescent="0.25">
      <c r="A215" t="s">
        <v>20</v>
      </c>
    </row>
    <row r="216" spans="1:1" x14ac:dyDescent="0.25">
      <c r="A216" t="s">
        <v>21</v>
      </c>
    </row>
    <row r="217" spans="1:1" x14ac:dyDescent="0.25">
      <c r="A217" t="s">
        <v>191</v>
      </c>
    </row>
    <row r="218" spans="1:1" x14ac:dyDescent="0.25">
      <c r="A218" t="s">
        <v>35</v>
      </c>
    </row>
    <row r="219" spans="1:1" x14ac:dyDescent="0.25">
      <c r="A219" t="s">
        <v>36</v>
      </c>
    </row>
    <row r="220" spans="1:1" x14ac:dyDescent="0.25">
      <c r="A220" t="s">
        <v>40</v>
      </c>
    </row>
    <row r="221" spans="1:1" x14ac:dyDescent="0.25">
      <c r="A221" t="s">
        <v>38</v>
      </c>
    </row>
    <row r="222" spans="1:1" x14ac:dyDescent="0.25">
      <c r="A222" t="s">
        <v>44</v>
      </c>
    </row>
    <row r="223" spans="1:1" x14ac:dyDescent="0.25">
      <c r="A223" t="s">
        <v>45</v>
      </c>
    </row>
    <row r="224" spans="1:1" x14ac:dyDescent="0.25">
      <c r="A224" t="s">
        <v>46</v>
      </c>
    </row>
    <row r="225" spans="1:2" x14ac:dyDescent="0.25">
      <c r="A225" t="s">
        <v>50</v>
      </c>
    </row>
    <row r="226" spans="1:2" x14ac:dyDescent="0.25">
      <c r="A226" t="s">
        <v>52</v>
      </c>
    </row>
    <row r="227" spans="1:2" x14ac:dyDescent="0.25">
      <c r="A227" t="s">
        <v>53</v>
      </c>
    </row>
    <row r="228" spans="1:2" x14ac:dyDescent="0.25">
      <c r="A228" t="s">
        <v>55</v>
      </c>
    </row>
    <row r="229" spans="1:2" x14ac:dyDescent="0.25">
      <c r="A229" t="s">
        <v>56</v>
      </c>
    </row>
    <row r="230" spans="1:2" x14ac:dyDescent="0.25">
      <c r="A230" t="s">
        <v>60</v>
      </c>
    </row>
    <row r="231" spans="1:2" x14ac:dyDescent="0.25">
      <c r="A231" t="s">
        <v>61</v>
      </c>
    </row>
    <row r="232" spans="1:2" x14ac:dyDescent="0.25">
      <c r="A232" t="s">
        <v>62</v>
      </c>
    </row>
    <row r="233" spans="1:2" x14ac:dyDescent="0.25">
      <c r="A233" t="s">
        <v>65</v>
      </c>
    </row>
    <row r="234" spans="1:2" x14ac:dyDescent="0.25">
      <c r="A234" t="s">
        <v>74</v>
      </c>
    </row>
    <row r="235" spans="1:2" x14ac:dyDescent="0.25">
      <c r="A235" t="s">
        <v>75</v>
      </c>
    </row>
    <row r="236" spans="1:2" x14ac:dyDescent="0.25">
      <c r="A236" t="s">
        <v>78</v>
      </c>
    </row>
    <row r="237" spans="1:2" x14ac:dyDescent="0.25">
      <c r="A237" t="s">
        <v>77</v>
      </c>
    </row>
    <row r="238" spans="1:2" x14ac:dyDescent="0.25">
      <c r="B238" t="s">
        <v>192</v>
      </c>
    </row>
    <row r="239" spans="1:2" x14ac:dyDescent="0.25">
      <c r="B239" t="s">
        <v>193</v>
      </c>
    </row>
    <row r="240" spans="1:2" x14ac:dyDescent="0.25">
      <c r="B240" t="s">
        <v>194</v>
      </c>
    </row>
    <row r="241" spans="1:2" x14ac:dyDescent="0.25">
      <c r="B241" t="s">
        <v>195</v>
      </c>
    </row>
    <row r="242" spans="1:2" x14ac:dyDescent="0.25">
      <c r="B242" t="s">
        <v>196</v>
      </c>
    </row>
    <row r="243" spans="1:2" x14ac:dyDescent="0.25">
      <c r="B243" t="s">
        <v>197</v>
      </c>
    </row>
    <row r="244" spans="1:2" x14ac:dyDescent="0.25">
      <c r="A244" t="s">
        <v>198</v>
      </c>
    </row>
    <row r="245" spans="1:2" x14ac:dyDescent="0.25">
      <c r="A245" t="s">
        <v>199</v>
      </c>
    </row>
    <row r="246" spans="1:2" x14ac:dyDescent="0.25">
      <c r="A246" t="s">
        <v>200</v>
      </c>
    </row>
    <row r="247" spans="1:2" x14ac:dyDescent="0.25">
      <c r="A247" t="s">
        <v>201</v>
      </c>
    </row>
    <row r="248" spans="1:2" x14ac:dyDescent="0.25">
      <c r="A248" t="s">
        <v>202</v>
      </c>
    </row>
    <row r="249" spans="1:2" x14ac:dyDescent="0.25">
      <c r="A249" t="s">
        <v>11</v>
      </c>
    </row>
    <row r="250" spans="1:2" x14ac:dyDescent="0.25">
      <c r="A250" t="s">
        <v>203</v>
      </c>
    </row>
    <row r="251" spans="1:2" x14ac:dyDescent="0.25">
      <c r="A251" t="s">
        <v>204</v>
      </c>
    </row>
    <row r="252" spans="1:2" x14ac:dyDescent="0.25">
      <c r="A252" t="s">
        <v>205</v>
      </c>
    </row>
    <row r="253" spans="1:2" x14ac:dyDescent="0.25">
      <c r="A253" t="s">
        <v>206</v>
      </c>
    </row>
    <row r="254" spans="1:2" x14ac:dyDescent="0.25">
      <c r="A254" t="s">
        <v>207</v>
      </c>
    </row>
    <row r="255" spans="1:2" x14ac:dyDescent="0.25">
      <c r="A255" t="s">
        <v>208</v>
      </c>
      <c r="B255" t="s">
        <v>209</v>
      </c>
    </row>
    <row r="256" spans="1:2" x14ac:dyDescent="0.25">
      <c r="A256" t="s">
        <v>210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2"/>
  <sheetViews>
    <sheetView workbookViewId="0">
      <selection activeCell="N33" sqref="N33"/>
    </sheetView>
  </sheetViews>
  <sheetFormatPr defaultRowHeight="15" x14ac:dyDescent="0.25"/>
  <cols>
    <col min="1" max="1" width="9.7109375" bestFit="1" customWidth="1"/>
    <col min="2" max="2" width="11.42578125" bestFit="1" customWidth="1"/>
  </cols>
  <sheetData>
    <row r="1" spans="1:6" x14ac:dyDescent="0.25">
      <c r="A1" t="s">
        <v>211</v>
      </c>
      <c r="B1" t="s">
        <v>212</v>
      </c>
      <c r="C1" t="s">
        <v>213</v>
      </c>
      <c r="D1" t="s">
        <v>214</v>
      </c>
      <c r="E1" t="s">
        <v>215</v>
      </c>
      <c r="F1" t="s">
        <v>113</v>
      </c>
    </row>
    <row r="2" spans="1:6" x14ac:dyDescent="0.25">
      <c r="A2" s="5">
        <v>41189</v>
      </c>
      <c r="B2" s="5" t="str">
        <f>"/"&amp;TEXT(A2,"YYYY/M/D")&amp;"/"</f>
        <v>/2012/10/7/</v>
      </c>
      <c r="C2" t="s">
        <v>222</v>
      </c>
      <c r="D2" t="s">
        <v>223</v>
      </c>
      <c r="E2" t="s">
        <v>225</v>
      </c>
      <c r="F2" t="s">
        <v>110</v>
      </c>
    </row>
    <row r="3" spans="1:6" x14ac:dyDescent="0.25">
      <c r="A3" s="5">
        <f>+A2-1</f>
        <v>41188</v>
      </c>
      <c r="B3" s="5" t="str">
        <f t="shared" ref="B3:B42" si="0">"/"&amp;TEXT(A3,"YYYY/M/D")&amp;"/"</f>
        <v>/2012/10/6/</v>
      </c>
      <c r="C3" t="s">
        <v>221</v>
      </c>
      <c r="D3" t="s">
        <v>242</v>
      </c>
      <c r="E3" t="s">
        <v>243</v>
      </c>
      <c r="F3" t="s">
        <v>110</v>
      </c>
    </row>
    <row r="4" spans="1:6" x14ac:dyDescent="0.25">
      <c r="A4" s="5">
        <f t="shared" ref="A4:A42" si="1">+A3-1</f>
        <v>41187</v>
      </c>
      <c r="B4" s="5" t="str">
        <f t="shared" si="0"/>
        <v>/2012/10/5/</v>
      </c>
      <c r="C4" t="s">
        <v>257</v>
      </c>
      <c r="D4" t="s">
        <v>258</v>
      </c>
      <c r="E4" t="s">
        <v>259</v>
      </c>
      <c r="F4" t="s">
        <v>110</v>
      </c>
    </row>
    <row r="5" spans="1:6" x14ac:dyDescent="0.25">
      <c r="A5" s="5">
        <f t="shared" si="1"/>
        <v>41186</v>
      </c>
      <c r="B5" s="5" t="str">
        <f t="shared" si="0"/>
        <v>/2012/10/4/</v>
      </c>
      <c r="C5" t="s">
        <v>266</v>
      </c>
      <c r="D5" t="s">
        <v>221</v>
      </c>
      <c r="E5" t="s">
        <v>110</v>
      </c>
      <c r="F5" t="s">
        <v>110</v>
      </c>
    </row>
    <row r="6" spans="1:6" x14ac:dyDescent="0.25">
      <c r="A6" s="5">
        <f t="shared" si="1"/>
        <v>41185</v>
      </c>
      <c r="B6" s="5" t="str">
        <f t="shared" si="0"/>
        <v>/2012/10/3/</v>
      </c>
      <c r="C6" t="s">
        <v>267</v>
      </c>
      <c r="D6" t="s">
        <v>95</v>
      </c>
      <c r="E6" t="s">
        <v>110</v>
      </c>
      <c r="F6" t="s">
        <v>110</v>
      </c>
    </row>
    <row r="7" spans="1:6" x14ac:dyDescent="0.25">
      <c r="A7" s="5">
        <f t="shared" si="1"/>
        <v>41184</v>
      </c>
      <c r="B7" s="5" t="str">
        <f t="shared" si="0"/>
        <v>/2012/10/2/</v>
      </c>
      <c r="C7" t="s">
        <v>267</v>
      </c>
      <c r="D7" t="s">
        <v>271</v>
      </c>
      <c r="E7" t="s">
        <v>246</v>
      </c>
      <c r="F7" t="s">
        <v>110</v>
      </c>
    </row>
    <row r="8" spans="1:6" x14ac:dyDescent="0.25">
      <c r="A8" s="5">
        <f t="shared" si="1"/>
        <v>41183</v>
      </c>
      <c r="B8" s="5" t="str">
        <f t="shared" si="0"/>
        <v>/2012/10/1/</v>
      </c>
      <c r="C8" t="s">
        <v>270</v>
      </c>
      <c r="D8" t="s">
        <v>220</v>
      </c>
      <c r="E8" t="s">
        <v>272</v>
      </c>
      <c r="F8" t="s">
        <v>110</v>
      </c>
    </row>
    <row r="9" spans="1:6" x14ac:dyDescent="0.25">
      <c r="A9" s="5">
        <f t="shared" si="1"/>
        <v>41182</v>
      </c>
      <c r="B9" s="5" t="str">
        <f t="shared" si="0"/>
        <v>/2012/9/30/</v>
      </c>
      <c r="C9" t="s">
        <v>241</v>
      </c>
      <c r="D9" t="s">
        <v>224</v>
      </c>
      <c r="E9" t="s">
        <v>273</v>
      </c>
      <c r="F9" t="s">
        <v>110</v>
      </c>
    </row>
    <row r="10" spans="1:6" x14ac:dyDescent="0.25">
      <c r="A10" s="5">
        <f t="shared" si="1"/>
        <v>41181</v>
      </c>
      <c r="B10" s="5" t="str">
        <f t="shared" si="0"/>
        <v>/2012/9/29/</v>
      </c>
      <c r="C10" t="s">
        <v>92</v>
      </c>
      <c r="D10" t="s">
        <v>220</v>
      </c>
      <c r="E10" t="s">
        <v>110</v>
      </c>
      <c r="F10" t="s">
        <v>110</v>
      </c>
    </row>
    <row r="11" spans="1:6" x14ac:dyDescent="0.25">
      <c r="A11" s="5">
        <f t="shared" si="1"/>
        <v>41180</v>
      </c>
      <c r="B11" s="5" t="str">
        <f t="shared" si="0"/>
        <v>/2012/9/28/</v>
      </c>
    </row>
    <row r="12" spans="1:6" x14ac:dyDescent="0.25">
      <c r="A12" s="5">
        <f t="shared" si="1"/>
        <v>41179</v>
      </c>
      <c r="B12" s="5" t="str">
        <f t="shared" si="0"/>
        <v>/2012/9/27/</v>
      </c>
    </row>
    <row r="13" spans="1:6" x14ac:dyDescent="0.25">
      <c r="A13" s="5">
        <f t="shared" si="1"/>
        <v>41178</v>
      </c>
      <c r="B13" s="5" t="str">
        <f t="shared" si="0"/>
        <v>/2012/9/26/</v>
      </c>
    </row>
    <row r="14" spans="1:6" x14ac:dyDescent="0.25">
      <c r="A14" s="5">
        <f t="shared" si="1"/>
        <v>41177</v>
      </c>
      <c r="B14" s="5" t="str">
        <f t="shared" si="0"/>
        <v>/2012/9/25/</v>
      </c>
    </row>
    <row r="15" spans="1:6" x14ac:dyDescent="0.25">
      <c r="A15" s="5">
        <f t="shared" si="1"/>
        <v>41176</v>
      </c>
      <c r="B15" s="5" t="str">
        <f t="shared" si="0"/>
        <v>/2012/9/24/</v>
      </c>
    </row>
    <row r="16" spans="1:6" x14ac:dyDescent="0.25">
      <c r="A16" s="5">
        <f t="shared" si="1"/>
        <v>41175</v>
      </c>
      <c r="B16" s="5" t="str">
        <f t="shared" si="0"/>
        <v>/2012/9/23/</v>
      </c>
    </row>
    <row r="17" spans="1:2" x14ac:dyDescent="0.25">
      <c r="A17" s="5">
        <f t="shared" si="1"/>
        <v>41174</v>
      </c>
      <c r="B17" s="5" t="str">
        <f t="shared" si="0"/>
        <v>/2012/9/22/</v>
      </c>
    </row>
    <row r="18" spans="1:2" x14ac:dyDescent="0.25">
      <c r="A18" s="5">
        <f t="shared" si="1"/>
        <v>41173</v>
      </c>
      <c r="B18" s="5" t="str">
        <f t="shared" si="0"/>
        <v>/2012/9/21/</v>
      </c>
    </row>
    <row r="19" spans="1:2" x14ac:dyDescent="0.25">
      <c r="A19" s="5">
        <f t="shared" si="1"/>
        <v>41172</v>
      </c>
      <c r="B19" s="5" t="str">
        <f t="shared" si="0"/>
        <v>/2012/9/20/</v>
      </c>
    </row>
    <row r="20" spans="1:2" x14ac:dyDescent="0.25">
      <c r="A20" s="5">
        <f t="shared" si="1"/>
        <v>41171</v>
      </c>
      <c r="B20" s="5" t="str">
        <f t="shared" si="0"/>
        <v>/2012/9/19/</v>
      </c>
    </row>
    <row r="21" spans="1:2" x14ac:dyDescent="0.25">
      <c r="A21" s="5">
        <f t="shared" si="1"/>
        <v>41170</v>
      </c>
      <c r="B21" s="5" t="str">
        <f t="shared" si="0"/>
        <v>/2012/9/18/</v>
      </c>
    </row>
    <row r="22" spans="1:2" x14ac:dyDescent="0.25">
      <c r="A22" s="5">
        <f t="shared" si="1"/>
        <v>41169</v>
      </c>
      <c r="B22" s="5" t="str">
        <f t="shared" si="0"/>
        <v>/2012/9/17/</v>
      </c>
    </row>
    <row r="23" spans="1:2" x14ac:dyDescent="0.25">
      <c r="A23" s="5">
        <f t="shared" si="1"/>
        <v>41168</v>
      </c>
      <c r="B23" s="5" t="str">
        <f t="shared" si="0"/>
        <v>/2012/9/16/</v>
      </c>
    </row>
    <row r="24" spans="1:2" x14ac:dyDescent="0.25">
      <c r="A24" s="5">
        <f t="shared" si="1"/>
        <v>41167</v>
      </c>
      <c r="B24" s="5" t="str">
        <f t="shared" si="0"/>
        <v>/2012/9/15/</v>
      </c>
    </row>
    <row r="25" spans="1:2" x14ac:dyDescent="0.25">
      <c r="A25" s="5">
        <f t="shared" si="1"/>
        <v>41166</v>
      </c>
      <c r="B25" s="5" t="str">
        <f t="shared" si="0"/>
        <v>/2012/9/14/</v>
      </c>
    </row>
    <row r="26" spans="1:2" x14ac:dyDescent="0.25">
      <c r="A26" s="5">
        <f t="shared" si="1"/>
        <v>41165</v>
      </c>
      <c r="B26" s="5" t="str">
        <f t="shared" si="0"/>
        <v>/2012/9/13/</v>
      </c>
    </row>
    <row r="27" spans="1:2" x14ac:dyDescent="0.25">
      <c r="A27" s="5">
        <f t="shared" si="1"/>
        <v>41164</v>
      </c>
      <c r="B27" s="5" t="str">
        <f t="shared" si="0"/>
        <v>/2012/9/12/</v>
      </c>
    </row>
    <row r="28" spans="1:2" x14ac:dyDescent="0.25">
      <c r="A28" s="5">
        <f t="shared" si="1"/>
        <v>41163</v>
      </c>
      <c r="B28" s="5" t="str">
        <f t="shared" si="0"/>
        <v>/2012/9/11/</v>
      </c>
    </row>
    <row r="29" spans="1:2" x14ac:dyDescent="0.25">
      <c r="A29" s="5">
        <f t="shared" si="1"/>
        <v>41162</v>
      </c>
      <c r="B29" s="5" t="str">
        <f t="shared" si="0"/>
        <v>/2012/9/10/</v>
      </c>
    </row>
    <row r="30" spans="1:2" x14ac:dyDescent="0.25">
      <c r="A30" s="5">
        <f t="shared" si="1"/>
        <v>41161</v>
      </c>
      <c r="B30" s="5" t="str">
        <f t="shared" si="0"/>
        <v>/2012/9/9/</v>
      </c>
    </row>
    <row r="31" spans="1:2" x14ac:dyDescent="0.25">
      <c r="A31" s="5">
        <f t="shared" si="1"/>
        <v>41160</v>
      </c>
      <c r="B31" s="5" t="str">
        <f t="shared" si="0"/>
        <v>/2012/9/8/</v>
      </c>
    </row>
    <row r="32" spans="1:2" x14ac:dyDescent="0.25">
      <c r="A32" s="5">
        <f t="shared" si="1"/>
        <v>41159</v>
      </c>
      <c r="B32" s="5" t="str">
        <f t="shared" si="0"/>
        <v>/2012/9/7/</v>
      </c>
    </row>
    <row r="33" spans="1:2" x14ac:dyDescent="0.25">
      <c r="A33" s="5">
        <f t="shared" si="1"/>
        <v>41158</v>
      </c>
      <c r="B33" s="5" t="str">
        <f t="shared" si="0"/>
        <v>/2012/9/6/</v>
      </c>
    </row>
    <row r="34" spans="1:2" x14ac:dyDescent="0.25">
      <c r="A34" s="5">
        <f t="shared" si="1"/>
        <v>41157</v>
      </c>
      <c r="B34" s="5" t="str">
        <f t="shared" si="0"/>
        <v>/2012/9/5/</v>
      </c>
    </row>
    <row r="35" spans="1:2" x14ac:dyDescent="0.25">
      <c r="A35" s="5">
        <f t="shared" si="1"/>
        <v>41156</v>
      </c>
      <c r="B35" s="5" t="str">
        <f t="shared" si="0"/>
        <v>/2012/9/4/</v>
      </c>
    </row>
    <row r="36" spans="1:2" x14ac:dyDescent="0.25">
      <c r="A36" s="5">
        <f t="shared" si="1"/>
        <v>41155</v>
      </c>
      <c r="B36" s="5" t="str">
        <f t="shared" si="0"/>
        <v>/2012/9/3/</v>
      </c>
    </row>
    <row r="37" spans="1:2" x14ac:dyDescent="0.25">
      <c r="A37" s="5">
        <f t="shared" si="1"/>
        <v>41154</v>
      </c>
      <c r="B37" s="5" t="str">
        <f t="shared" si="0"/>
        <v>/2012/9/2/</v>
      </c>
    </row>
    <row r="38" spans="1:2" x14ac:dyDescent="0.25">
      <c r="A38" s="5">
        <f t="shared" si="1"/>
        <v>41153</v>
      </c>
      <c r="B38" s="5" t="str">
        <f t="shared" si="0"/>
        <v>/2012/9/1/</v>
      </c>
    </row>
    <row r="39" spans="1:2" x14ac:dyDescent="0.25">
      <c r="A39" s="5">
        <f t="shared" si="1"/>
        <v>41152</v>
      </c>
      <c r="B39" s="5" t="str">
        <f t="shared" si="0"/>
        <v>/2012/8/31/</v>
      </c>
    </row>
    <row r="40" spans="1:2" x14ac:dyDescent="0.25">
      <c r="A40" s="5">
        <f t="shared" si="1"/>
        <v>41151</v>
      </c>
      <c r="B40" s="5" t="str">
        <f t="shared" si="0"/>
        <v>/2012/8/30/</v>
      </c>
    </row>
    <row r="41" spans="1:2" x14ac:dyDescent="0.25">
      <c r="A41" s="5">
        <f t="shared" si="1"/>
        <v>41150</v>
      </c>
      <c r="B41" s="5" t="str">
        <f t="shared" si="0"/>
        <v>/2012/8/29/</v>
      </c>
    </row>
    <row r="42" spans="1:2" x14ac:dyDescent="0.25">
      <c r="A42" s="5">
        <f t="shared" si="1"/>
        <v>41149</v>
      </c>
      <c r="B42" s="5" t="str">
        <f t="shared" si="0"/>
        <v>/2012/8/28/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Web</vt:lpstr>
      <vt:lpstr>Data</vt:lpstr>
      <vt:lpstr>Web!DailyHistory10</vt:lpstr>
      <vt:lpstr>Web!DailyHistory2</vt:lpstr>
      <vt:lpstr>Web!DailyHistory3</vt:lpstr>
      <vt:lpstr>Web!DailyHistory4</vt:lpstr>
      <vt:lpstr>Web!DailyHistory5</vt:lpstr>
      <vt:lpstr>Web!DailyHistory6</vt:lpstr>
      <vt:lpstr>Web!DailyHistory7</vt:lpstr>
      <vt:lpstr>Web!DailyHistory8</vt:lpstr>
      <vt:lpstr>Web!DailyHistory9</vt:lpstr>
    </vt:vector>
  </TitlesOfParts>
  <Company>Tickling Keys,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2012-10-08T13:41:32Z</dcterms:created>
  <dcterms:modified xsi:type="dcterms:W3CDTF">2013-02-23T12:46:27Z</dcterms:modified>
</cp:coreProperties>
</file>