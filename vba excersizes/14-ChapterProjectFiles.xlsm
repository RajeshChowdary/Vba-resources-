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TRACYWIN7-PC\Download Files\"/>
    </mc:Choice>
  </mc:AlternateContent>
  <bookViews>
    <workbookView xWindow="0" yWindow="0" windowWidth="19200" windowHeight="11595" tabRatio="917"/>
  </bookViews>
  <sheets>
    <sheet name="Discussion" sheetId="1" r:id="rId1"/>
    <sheet name="Functions" sheetId="2" r:id="rId2"/>
  </sheets>
  <definedNames>
    <definedName name="storeno">#REF!</definedName>
  </definedNames>
  <calcPr calcId="152511"/>
</workbook>
</file>

<file path=xl/calcChain.xml><?xml version="1.0" encoding="utf-8"?>
<calcChain xmlns="http://schemas.openxmlformats.org/spreadsheetml/2006/main">
  <c r="C220" i="2" l="1"/>
  <c r="D169" i="2"/>
  <c r="C131" i="2"/>
  <c r="C121" i="2"/>
  <c r="D107" i="2"/>
  <c r="C227" i="2"/>
  <c r="C224" i="2"/>
  <c r="C26" i="2"/>
  <c r="D172" i="2"/>
  <c r="C232" i="2"/>
  <c r="D13" i="2"/>
  <c r="C176" i="2"/>
  <c r="D171" i="2"/>
  <c r="C209" i="2"/>
  <c r="C199" i="2"/>
  <c r="C211" i="2"/>
  <c r="C210" i="2"/>
  <c r="E127" i="2"/>
  <c r="D163" i="2"/>
  <c r="C226" i="2"/>
  <c r="C27" i="2"/>
  <c r="C234" i="2"/>
  <c r="C200" i="2"/>
  <c r="D33" i="2"/>
  <c r="C194" i="2"/>
  <c r="C120" i="2"/>
  <c r="D108" i="2"/>
  <c r="C95" i="2"/>
  <c r="C228" i="2"/>
  <c r="C28" i="2"/>
  <c r="C231" i="2"/>
  <c r="C3" i="2"/>
  <c r="G127" i="2"/>
  <c r="C206" i="2"/>
  <c r="D73" i="2" a="1"/>
  <c r="H127" i="2"/>
  <c r="C204" i="2"/>
  <c r="D164" i="2"/>
  <c r="D127" i="2"/>
  <c r="C118" i="2"/>
  <c r="D106" i="2"/>
  <c r="C225" i="2"/>
  <c r="D31" i="2"/>
  <c r="C22" i="2"/>
  <c r="C207" i="2"/>
  <c r="C205" i="2"/>
  <c r="D113" i="2"/>
  <c r="C5" i="2"/>
  <c r="D170" i="2"/>
  <c r="D114" i="2"/>
  <c r="C195" i="2"/>
  <c r="C119" i="2"/>
  <c r="D112" i="2"/>
  <c r="D105" i="2"/>
  <c r="C10" i="2"/>
  <c r="D32" i="2"/>
  <c r="C233" i="2"/>
  <c r="C208" i="2"/>
  <c r="I127" i="2"/>
  <c r="C147" i="2" a="1"/>
  <c r="C15" i="2"/>
  <c r="F127" i="2"/>
  <c r="D51" i="2"/>
  <c r="C150" i="2" l="1"/>
  <c r="C154" i="2"/>
  <c r="C158" i="2"/>
  <c r="C147" i="2"/>
  <c r="C151" i="2"/>
  <c r="C155" i="2"/>
  <c r="C159" i="2"/>
  <c r="C148" i="2"/>
  <c r="C152" i="2"/>
  <c r="C156" i="2"/>
  <c r="C153" i="2"/>
  <c r="C149" i="2"/>
  <c r="C157" i="2"/>
  <c r="D8" i="2"/>
  <c r="D76" i="2"/>
  <c r="D79" i="2"/>
  <c r="D78" i="2"/>
  <c r="D73" i="2"/>
  <c r="D81" i="2"/>
  <c r="D80" i="2"/>
  <c r="D75" i="2"/>
  <c r="D83" i="2"/>
  <c r="D82" i="2"/>
  <c r="D77" i="2"/>
  <c r="D74" i="2"/>
  <c r="C19" i="2"/>
  <c r="C8" i="2"/>
</calcChain>
</file>

<file path=xl/sharedStrings.xml><?xml version="1.0" encoding="utf-8"?>
<sst xmlns="http://schemas.openxmlformats.org/spreadsheetml/2006/main" count="141" uniqueCount="115">
  <si>
    <t>VBA &amp; Macros for Microsoft Excel</t>
  </si>
  <si>
    <t>MyName:</t>
  </si>
  <si>
    <t>MyFullName:</t>
  </si>
  <si>
    <t>Book Open:</t>
  </si>
  <si>
    <t>Sheet Exists</t>
  </si>
  <si>
    <t>Discussion</t>
  </si>
  <si>
    <t>Get User ID:</t>
  </si>
  <si>
    <t>Date &amp; Time of last save:</t>
  </si>
  <si>
    <t>Permanent Date &amp; Time:</t>
  </si>
  <si>
    <t>Validate an e-mail address:</t>
  </si>
  <si>
    <t>consult@MrExcel.com</t>
  </si>
  <si>
    <t>consultMrExcel.com</t>
  </si>
  <si>
    <t>consult@MrExcel.command</t>
  </si>
  <si>
    <t>Sum Cells by Interior Color:</t>
  </si>
  <si>
    <t>Retrieve Interior Cell Color Name or Index</t>
  </si>
  <si>
    <t>Retrieve Text Color Index</t>
  </si>
  <si>
    <t>test</t>
  </si>
  <si>
    <t>Count Unique Values</t>
  </si>
  <si>
    <t>A</t>
  </si>
  <si>
    <t>R</t>
  </si>
  <si>
    <t>T</t>
  </si>
  <si>
    <t>V</t>
  </si>
  <si>
    <t>F</t>
  </si>
  <si>
    <t>EE</t>
  </si>
  <si>
    <t>Q</t>
  </si>
  <si>
    <t>GE</t>
  </si>
  <si>
    <t>Remove Duplicates from a Range</t>
  </si>
  <si>
    <t>Original Range</t>
  </si>
  <si>
    <t>No Duplicates</t>
  </si>
  <si>
    <t>This formula requires special</t>
  </si>
  <si>
    <t>care and handling. Using the</t>
  </si>
  <si>
    <t>11 unique values in the array.</t>
  </si>
  <si>
    <t>Then, I highlighted an 11 row x 1</t>
  </si>
  <si>
    <t>column range, typed the formula.</t>
  </si>
  <si>
    <t>Rather than pressing Enter, I</t>
  </si>
  <si>
    <t>had to hold down Ctrl+Shift+Enter</t>
  </si>
  <si>
    <t>to create an Array formula.</t>
  </si>
  <si>
    <t>If I would have chosen to enter this</t>
  </si>
  <si>
    <t>one formula in a range with 20</t>
  </si>
  <si>
    <t>values, the last 9 entries would</t>
  </si>
  <si>
    <t>have been #N/A</t>
  </si>
  <si>
    <t>Find the first non-zero length entry in a range</t>
  </si>
  <si>
    <t>Substitute Multiple Characters</t>
  </si>
  <si>
    <t>1 Introduction</t>
  </si>
  <si>
    <t>This wam a test</t>
  </si>
  <si>
    <t>123abc456</t>
  </si>
  <si>
    <t>Adnothyer Tuiest</t>
  </si>
  <si>
    <t>Retrieve numbers from mixed text</t>
  </si>
  <si>
    <t>1b2k3j34ioj</t>
  </si>
  <si>
    <t>123 abc</t>
  </si>
  <si>
    <t>Convert Week Number to a Date</t>
  </si>
  <si>
    <t>Week 8 1965</t>
  </si>
  <si>
    <t>Sort &amp; Concatenate</t>
  </si>
  <si>
    <t>q</t>
  </si>
  <si>
    <t>r</t>
  </si>
  <si>
    <t>f</t>
  </si>
  <si>
    <t>a</t>
  </si>
  <si>
    <t>gg</t>
  </si>
  <si>
    <t>rrrrr</t>
  </si>
  <si>
    <t>List</t>
  </si>
  <si>
    <t>Sort Numeric &amp; Alpha Characters</t>
  </si>
  <si>
    <t>start data</t>
  </si>
  <si>
    <t>E</t>
  </si>
  <si>
    <t>B</t>
  </si>
  <si>
    <t>SS</t>
  </si>
  <si>
    <t>DD</t>
  </si>
  <si>
    <t>9d</t>
  </si>
  <si>
    <t>data sorted</t>
  </si>
  <si>
    <t>Again, this is entered as a single array formula.</t>
  </si>
  <si>
    <t>Highlight the entire 13 cell range. Type the formula.</t>
  </si>
  <si>
    <t>Instead of hitting enter, hold down Ctrl+Shift and hit enter.</t>
  </si>
  <si>
    <t xml:space="preserve">In an array formula, you do not type the curly braces. </t>
  </si>
  <si>
    <t>Excel adds these for you.</t>
  </si>
  <si>
    <t>Search for a String within Text</t>
  </si>
  <si>
    <t>This is an apple</t>
  </si>
  <si>
    <t>This is an orange</t>
  </si>
  <si>
    <t>Here is a banana</t>
  </si>
  <si>
    <t>Reverse the Contents of a Cell</t>
  </si>
  <si>
    <t>How are you?</t>
  </si>
  <si>
    <t>banana</t>
  </si>
  <si>
    <t>Bill Jelen</t>
  </si>
  <si>
    <t>otto</t>
  </si>
  <si>
    <t>Multiple Max</t>
  </si>
  <si>
    <t>Return Hyperlink Address</t>
  </si>
  <si>
    <t>Tracy Syrstad</t>
  </si>
  <si>
    <t>The Best Site for Excel Answers</t>
  </si>
  <si>
    <t>Return Column Letter of a Cell Address</t>
  </si>
  <si>
    <t>Static Random</t>
  </si>
  <si>
    <t>Using Select Case on a Worksheet</t>
  </si>
  <si>
    <t>Cells containing user defined functions are in green</t>
  </si>
  <si>
    <t>This chapter includes many custom functions that you can put to use.</t>
  </si>
  <si>
    <t>You will find all of the code in the attached Modules.</t>
  </si>
  <si>
    <t>The Functions worksheet demonstrates each function in use.</t>
  </si>
  <si>
    <t>Number of XLSM files in current directory</t>
  </si>
  <si>
    <t>Separate Delimited String</t>
  </si>
  <si>
    <t>str</t>
  </si>
  <si>
    <t>chr</t>
  </si>
  <si>
    <t>ind</t>
  </si>
  <si>
    <t>A|B|C|D|E|F</t>
  </si>
  <si>
    <t>|</t>
  </si>
  <si>
    <t>Chapter 14 - Sample User-Defined Functions</t>
  </si>
  <si>
    <t>Some samples have also been setup calls via code. Just press the corresponding button</t>
  </si>
  <si>
    <t>Note: some UDFs use 64-bit API calls</t>
  </si>
  <si>
    <t>If you have 32-bit Excel, refer to Chapter 23, Windows API</t>
  </si>
  <si>
    <t>for instructions on converting the declarations</t>
  </si>
  <si>
    <t>BONUS</t>
  </si>
  <si>
    <t>function above, I know there are</t>
  </si>
  <si>
    <t>Week 15 2013</t>
  </si>
  <si>
    <t>Week 26 2012</t>
  </si>
  <si>
    <t>Week 51 2013</t>
  </si>
  <si>
    <t>AA</t>
  </si>
  <si>
    <t>y</t>
  </si>
  <si>
    <t>Weight (lbs)</t>
  </si>
  <si>
    <t>BMI</t>
  </si>
  <si>
    <t>Height(inches)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</si>
</sst>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m/d/yy\ h:mm\ AM/PM;@"/>
    <numFmt numFmtId="165" formatCode="mmmm\ d\,\ yyyy"/>
  </numFmts>
  <fonts count="13" x14ac:knownFonts="1">
    <font>
      <sz val="10"/>
      <name val="Arial"/>
    </font>
    <font>
      <sz val="11"/>
      <color theme="1"/>
      <name val="Calibri"/>
      <family val="2"/>
      <scheme val="minor"/>
    </font>
    <font>
      <sz val="8"/>
      <name val="Arial"/>
      <family val="2"/>
    </font>
    <font>
      <u/>
      <sz val="10"/>
      <color indexed="12"/>
      <name val="Arial"/>
      <family val="2"/>
    </font>
    <font>
      <sz val="10"/>
      <name val="Calibri"/>
      <family val="2"/>
      <scheme val="minor"/>
    </font>
    <font>
      <i/>
      <sz val="10"/>
      <name val="Calibri"/>
      <family val="2"/>
      <scheme val="minor"/>
    </font>
    <font>
      <b/>
      <sz val="10"/>
      <name val="Calibri"/>
      <family val="2"/>
      <scheme val="minor"/>
    </font>
    <font>
      <u/>
      <sz val="10"/>
      <color indexed="12"/>
      <name val="Calibri"/>
      <family val="2"/>
      <scheme val="minor"/>
    </font>
    <font>
      <sz val="10"/>
      <color indexed="10"/>
      <name val="Calibri"/>
      <family val="2"/>
      <scheme val="minor"/>
    </font>
    <font>
      <sz val="10"/>
      <color indexed="8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indexed="61"/>
      <name val="Calibri"/>
      <family val="2"/>
      <scheme val="minor"/>
    </font>
    <font>
      <sz val="10"/>
      <color rgb="FF00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CFFCC"/>
        <bgColor indexed="64"/>
      </patternFill>
    </fill>
  </fills>
  <borders count="11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1" fillId="0" borderId="0"/>
  </cellStyleXfs>
  <cellXfs count="55">
    <xf numFmtId="0" fontId="0" fillId="0" borderId="0" xfId="0"/>
    <xf numFmtId="0" fontId="0" fillId="0" borderId="0" xfId="0" quotePrefix="1" applyAlignment="1">
      <alignment horizontal="left"/>
    </xf>
    <xf numFmtId="0" fontId="0" fillId="0" borderId="0" xfId="0" applyAlignment="1">
      <alignment horizontal="left"/>
    </xf>
    <xf numFmtId="0" fontId="4" fillId="0" borderId="0" xfId="0" applyFont="1"/>
    <xf numFmtId="0" fontId="5" fillId="0" borderId="0" xfId="0" quotePrefix="1" applyFont="1" applyAlignment="1">
      <alignment horizontal="left"/>
    </xf>
    <xf numFmtId="0" fontId="6" fillId="0" borderId="0" xfId="0" applyFont="1" applyAlignment="1">
      <alignment horizontal="right"/>
    </xf>
    <xf numFmtId="0" fontId="4" fillId="7" borderId="0" xfId="0" applyFont="1" applyFill="1"/>
    <xf numFmtId="0" fontId="4" fillId="0" borderId="0" xfId="0" applyFont="1" applyAlignment="1">
      <alignment horizontal="right"/>
    </xf>
    <xf numFmtId="0" fontId="6" fillId="0" borderId="0" xfId="0" quotePrefix="1" applyFont="1" applyAlignment="1">
      <alignment horizontal="right"/>
    </xf>
    <xf numFmtId="0" fontId="4" fillId="7" borderId="0" xfId="0" applyFont="1" applyFill="1" applyAlignment="1">
      <alignment horizontal="left"/>
    </xf>
    <xf numFmtId="0" fontId="6" fillId="0" borderId="0" xfId="0" applyFont="1" applyAlignment="1">
      <alignment horizontal="left"/>
    </xf>
    <xf numFmtId="0" fontId="6" fillId="0" borderId="0" xfId="0" quotePrefix="1" applyFont="1" applyAlignment="1">
      <alignment horizontal="left"/>
    </xf>
    <xf numFmtId="164" fontId="4" fillId="7" borderId="0" xfId="0" applyNumberFormat="1" applyFont="1" applyFill="1" applyAlignment="1">
      <alignment horizontal="left"/>
    </xf>
    <xf numFmtId="0" fontId="7" fillId="0" borderId="0" xfId="1" applyFont="1" applyAlignment="1" applyProtection="1"/>
    <xf numFmtId="0" fontId="4" fillId="7" borderId="7" xfId="0" applyFont="1" applyFill="1" applyBorder="1"/>
    <xf numFmtId="0" fontId="4" fillId="2" borderId="1" xfId="0" applyFont="1" applyFill="1" applyBorder="1" applyAlignment="1">
      <alignment horizontal="center"/>
    </xf>
    <xf numFmtId="0" fontId="4" fillId="7" borderId="8" xfId="0" applyFont="1" applyFill="1" applyBorder="1"/>
    <xf numFmtId="0" fontId="4" fillId="3" borderId="2" xfId="0" applyFont="1" applyFill="1" applyBorder="1"/>
    <xf numFmtId="0" fontId="4" fillId="7" borderId="9" xfId="0" applyFont="1" applyFill="1" applyBorder="1"/>
    <xf numFmtId="0" fontId="4" fillId="0" borderId="3" xfId="0" applyFont="1" applyBorder="1"/>
    <xf numFmtId="0" fontId="4" fillId="0" borderId="0" xfId="0" applyFont="1" applyAlignment="1">
      <alignment horizontal="center"/>
    </xf>
    <xf numFmtId="0" fontId="4" fillId="2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4" fillId="3" borderId="0" xfId="0" applyFont="1" applyFill="1" applyBorder="1"/>
    <xf numFmtId="0" fontId="4" fillId="4" borderId="0" xfId="0" applyFont="1" applyFill="1"/>
    <xf numFmtId="0" fontId="4" fillId="5" borderId="0" xfId="0" applyFont="1" applyFill="1"/>
    <xf numFmtId="0" fontId="4" fillId="6" borderId="0" xfId="0" applyFont="1" applyFill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10" fillId="7" borderId="4" xfId="0" applyFont="1" applyFill="1" applyBorder="1" applyAlignment="1">
      <alignment horizontal="left"/>
    </xf>
    <xf numFmtId="0" fontId="4" fillId="0" borderId="0" xfId="0" quotePrefix="1" applyFont="1" applyAlignment="1">
      <alignment horizontal="left"/>
    </xf>
    <xf numFmtId="0" fontId="10" fillId="7" borderId="5" xfId="0" applyFont="1" applyFill="1" applyBorder="1" applyAlignment="1">
      <alignment horizontal="left"/>
    </xf>
    <xf numFmtId="0" fontId="10" fillId="7" borderId="6" xfId="0" applyFont="1" applyFill="1" applyBorder="1" applyAlignment="1">
      <alignment horizontal="left"/>
    </xf>
    <xf numFmtId="0" fontId="4" fillId="0" borderId="4" xfId="0" applyFont="1" applyBorder="1" applyAlignment="1">
      <alignment horizontal="right"/>
    </xf>
    <xf numFmtId="0" fontId="4" fillId="7" borderId="0" xfId="0" applyFont="1" applyFill="1" applyAlignment="1">
      <alignment horizontal="center"/>
    </xf>
    <xf numFmtId="0" fontId="4" fillId="0" borderId="5" xfId="0" applyFont="1" applyBorder="1" applyAlignment="1">
      <alignment horizontal="right"/>
    </xf>
    <xf numFmtId="0" fontId="4" fillId="0" borderId="6" xfId="0" applyFont="1" applyBorder="1" applyAlignment="1">
      <alignment horizontal="right"/>
    </xf>
    <xf numFmtId="165" fontId="4" fillId="7" borderId="0" xfId="0" applyNumberFormat="1" applyFont="1" applyFill="1" applyAlignment="1">
      <alignment horizontal="center"/>
    </xf>
    <xf numFmtId="0" fontId="4" fillId="7" borderId="4" xfId="0" applyFont="1" applyFill="1" applyBorder="1" applyAlignment="1">
      <alignment horizontal="center"/>
    </xf>
    <xf numFmtId="0" fontId="4" fillId="7" borderId="5" xfId="0" applyFont="1" applyFill="1" applyBorder="1" applyAlignment="1">
      <alignment horizontal="center"/>
    </xf>
    <xf numFmtId="0" fontId="4" fillId="7" borderId="6" xfId="0" applyFont="1" applyFill="1" applyBorder="1" applyAlignment="1">
      <alignment horizontal="center"/>
    </xf>
    <xf numFmtId="0" fontId="7" fillId="0" borderId="0" xfId="1" quotePrefix="1" applyFont="1" applyAlignment="1" applyProtection="1">
      <alignment horizontal="left"/>
    </xf>
    <xf numFmtId="0" fontId="4" fillId="0" borderId="0" xfId="0" applyFont="1" applyFill="1"/>
    <xf numFmtId="0" fontId="4" fillId="0" borderId="10" xfId="0" applyFont="1" applyBorder="1" applyAlignment="1">
      <alignment horizontal="right"/>
    </xf>
    <xf numFmtId="0" fontId="4" fillId="0" borderId="10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8" borderId="7" xfId="0" applyFont="1" applyFill="1" applyBorder="1" applyAlignment="1">
      <alignment horizontal="center"/>
    </xf>
    <xf numFmtId="0" fontId="4" fillId="8" borderId="10" xfId="0" applyFont="1" applyFill="1" applyBorder="1" applyAlignment="1">
      <alignment horizontal="center"/>
    </xf>
    <xf numFmtId="0" fontId="4" fillId="0" borderId="0" xfId="0" applyFont="1" applyBorder="1" applyAlignment="1">
      <alignment horizontal="right"/>
    </xf>
    <xf numFmtId="0" fontId="4" fillId="0" borderId="0" xfId="0" applyFont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4" fillId="0" borderId="0" xfId="0" applyFont="1" applyAlignment="1">
      <alignment horizontal="center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9" defaultPivotStyle="PivotStyleLight16"/>
  <colors>
    <mruColors>
      <color rgb="FFCCFFCC"/>
      <color rgb="FF99FFCC"/>
      <color rgb="FFFDDFC7"/>
      <color rgb="FFF6791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5</xdr:row>
          <xdr:rowOff>152400</xdr:rowOff>
        </xdr:from>
        <xdr:to>
          <xdr:col>7</xdr:col>
          <xdr:colOff>361950</xdr:colOff>
          <xdr:row>7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Book Open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8</xdr:row>
          <xdr:rowOff>66675</xdr:rowOff>
        </xdr:from>
        <xdr:to>
          <xdr:col>7</xdr:col>
          <xdr:colOff>371475</xdr:colOff>
          <xdr:row>10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Sheet Exists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11</xdr:row>
          <xdr:rowOff>66675</xdr:rowOff>
        </xdr:from>
        <xdr:to>
          <xdr:col>7</xdr:col>
          <xdr:colOff>381000</xdr:colOff>
          <xdr:row>13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Count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14</xdr:row>
          <xdr:rowOff>66675</xdr:rowOff>
        </xdr:from>
        <xdr:to>
          <xdr:col>7</xdr:col>
          <xdr:colOff>371475</xdr:colOff>
          <xdr:row>16</xdr:row>
          <xdr:rowOff>47625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USERID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mailto:Tracy@MrExcel.com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mailto:consult@MrExcel.command" TargetMode="External"/><Relationship Id="rId1" Type="http://schemas.openxmlformats.org/officeDocument/2006/relationships/hyperlink" Target="mailto:consult@MrExcel.com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0" Type="http://schemas.openxmlformats.org/officeDocument/2006/relationships/ctrlProp" Target="../ctrlProps/ctrlProp3.xml"/><Relationship Id="rId4" Type="http://schemas.openxmlformats.org/officeDocument/2006/relationships/hyperlink" Target="http://www.mrexcel.com/" TargetMode="External"/><Relationship Id="rId9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112"/>
  <sheetViews>
    <sheetView tabSelected="1" workbookViewId="0">
      <selection activeCell="A3" sqref="A3"/>
    </sheetView>
  </sheetViews>
  <sheetFormatPr defaultRowHeight="12.75" x14ac:dyDescent="0.2"/>
  <cols>
    <col min="2" max="3" width="4.7109375" customWidth="1"/>
  </cols>
  <sheetData>
    <row r="1" spans="1:3" x14ac:dyDescent="0.2">
      <c r="A1" t="s">
        <v>0</v>
      </c>
    </row>
    <row r="2" spans="1:3" x14ac:dyDescent="0.2">
      <c r="A2" s="1" t="s">
        <v>100</v>
      </c>
    </row>
    <row r="4" spans="1:3" x14ac:dyDescent="0.2">
      <c r="A4" t="s">
        <v>90</v>
      </c>
    </row>
    <row r="5" spans="1:3" x14ac:dyDescent="0.2">
      <c r="A5" t="s">
        <v>91</v>
      </c>
    </row>
    <row r="7" spans="1:3" x14ac:dyDescent="0.2">
      <c r="A7" t="s">
        <v>92</v>
      </c>
    </row>
    <row r="10" spans="1:3" x14ac:dyDescent="0.2">
      <c r="A10" s="1"/>
    </row>
    <row r="14" spans="1:3" x14ac:dyDescent="0.2">
      <c r="C14" s="1"/>
    </row>
    <row r="24" spans="4:4" x14ac:dyDescent="0.2">
      <c r="D24" s="1"/>
    </row>
    <row r="26" spans="4:4" x14ac:dyDescent="0.2">
      <c r="D26" s="1"/>
    </row>
    <row r="37" spans="1:4" x14ac:dyDescent="0.2">
      <c r="A37" s="1"/>
    </row>
    <row r="42" spans="1:4" x14ac:dyDescent="0.2">
      <c r="A42" s="1"/>
    </row>
    <row r="46" spans="1:4" x14ac:dyDescent="0.2">
      <c r="D46" s="2"/>
    </row>
    <row r="47" spans="1:4" x14ac:dyDescent="0.2">
      <c r="D47" s="1"/>
    </row>
    <row r="57" spans="1:3" x14ac:dyDescent="0.2">
      <c r="C57" s="1"/>
    </row>
    <row r="58" spans="1:3" x14ac:dyDescent="0.2">
      <c r="C58" s="1"/>
    </row>
    <row r="61" spans="1:3" x14ac:dyDescent="0.2">
      <c r="A61" s="1"/>
    </row>
    <row r="63" spans="1:3" x14ac:dyDescent="0.2">
      <c r="A63" s="1"/>
    </row>
    <row r="67" spans="3:4" x14ac:dyDescent="0.2">
      <c r="C67" s="2"/>
    </row>
    <row r="68" spans="3:4" x14ac:dyDescent="0.2">
      <c r="C68" s="1"/>
    </row>
    <row r="75" spans="3:4" x14ac:dyDescent="0.2">
      <c r="C75" s="1"/>
    </row>
    <row r="79" spans="3:4" x14ac:dyDescent="0.2">
      <c r="D79" s="1"/>
    </row>
    <row r="84" spans="1:3" x14ac:dyDescent="0.2">
      <c r="C84" s="1"/>
    </row>
    <row r="89" spans="1:3" x14ac:dyDescent="0.2">
      <c r="A89" s="1"/>
    </row>
    <row r="108" spans="1:7" x14ac:dyDescent="0.2">
      <c r="A108" s="1"/>
    </row>
    <row r="109" spans="1:7" x14ac:dyDescent="0.2">
      <c r="A109" s="1"/>
    </row>
    <row r="112" spans="1:7" x14ac:dyDescent="0.2">
      <c r="G112" s="1"/>
    </row>
  </sheetData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235"/>
  <sheetViews>
    <sheetView workbookViewId="0"/>
  </sheetViews>
  <sheetFormatPr defaultRowHeight="12.75" x14ac:dyDescent="0.2"/>
  <cols>
    <col min="1" max="1" width="9.140625" style="3"/>
    <col min="2" max="2" width="11.7109375" style="3" customWidth="1"/>
    <col min="3" max="3" width="31.28515625" style="3" customWidth="1"/>
    <col min="4" max="4" width="13.42578125" style="3" customWidth="1"/>
    <col min="5" max="16384" width="9.140625" style="3"/>
  </cols>
  <sheetData>
    <row r="1" spans="1:8" x14ac:dyDescent="0.2">
      <c r="A1" s="4" t="s">
        <v>89</v>
      </c>
      <c r="G1" s="3" t="s">
        <v>102</v>
      </c>
    </row>
    <row r="2" spans="1:8" x14ac:dyDescent="0.2">
      <c r="A2" s="4" t="s">
        <v>101</v>
      </c>
      <c r="G2" s="3" t="s">
        <v>103</v>
      </c>
    </row>
    <row r="3" spans="1:8" x14ac:dyDescent="0.2">
      <c r="B3" s="5" t="s">
        <v>1</v>
      </c>
      <c r="C3" s="6" t="str">
        <f>MyName()</f>
        <v>ProjectFilesChapter14.xlsm</v>
      </c>
      <c r="G3" s="3" t="s">
        <v>104</v>
      </c>
    </row>
    <row r="4" spans="1:8" x14ac:dyDescent="0.2">
      <c r="B4" s="7"/>
    </row>
    <row r="5" spans="1:8" x14ac:dyDescent="0.2">
      <c r="B5" s="5" t="s">
        <v>2</v>
      </c>
      <c r="C5" s="6" t="str">
        <f>MyFullname()</f>
        <v>\\TRACYWIN7-PC\Download Files\ProjectFilesChapter14.xlsm</v>
      </c>
      <c r="H5" s="45"/>
    </row>
    <row r="6" spans="1:8" x14ac:dyDescent="0.2">
      <c r="B6" s="7"/>
      <c r="H6" s="45"/>
    </row>
    <row r="7" spans="1:8" x14ac:dyDescent="0.2">
      <c r="B7" s="7"/>
    </row>
    <row r="8" spans="1:8" x14ac:dyDescent="0.2">
      <c r="B8" s="8" t="s">
        <v>3</v>
      </c>
      <c r="C8" s="9" t="b">
        <f>BookOpen(D8)</f>
        <v>1</v>
      </c>
      <c r="D8" s="3" t="str">
        <f>C3</f>
        <v>ProjectFilesChapter14.xlsm</v>
      </c>
    </row>
    <row r="9" spans="1:8" x14ac:dyDescent="0.2">
      <c r="B9" s="7"/>
    </row>
    <row r="10" spans="1:8" x14ac:dyDescent="0.2">
      <c r="B10" s="8" t="s">
        <v>4</v>
      </c>
      <c r="C10" s="9" t="b">
        <f>SheetExists(D10)</f>
        <v>1</v>
      </c>
      <c r="D10" s="3" t="s">
        <v>5</v>
      </c>
    </row>
    <row r="11" spans="1:8" x14ac:dyDescent="0.2">
      <c r="B11" s="7"/>
    </row>
    <row r="12" spans="1:8" x14ac:dyDescent="0.2">
      <c r="B12" s="7"/>
    </row>
    <row r="13" spans="1:8" x14ac:dyDescent="0.2">
      <c r="B13" s="10" t="s">
        <v>93</v>
      </c>
      <c r="D13" s="6">
        <f>NumFilesInCurDir()</f>
        <v>16</v>
      </c>
    </row>
    <row r="14" spans="1:8" x14ac:dyDescent="0.2">
      <c r="B14" s="7"/>
    </row>
    <row r="15" spans="1:8" x14ac:dyDescent="0.2">
      <c r="B15" s="8" t="s">
        <v>6</v>
      </c>
      <c r="C15" s="6" t="str">
        <f>WinUserName()</f>
        <v>Tracy</v>
      </c>
    </row>
    <row r="16" spans="1:8" x14ac:dyDescent="0.2">
      <c r="B16" s="7"/>
    </row>
    <row r="17" spans="2:5" x14ac:dyDescent="0.2">
      <c r="B17" s="7"/>
    </row>
    <row r="18" spans="2:5" x14ac:dyDescent="0.2">
      <c r="B18" s="11" t="s">
        <v>7</v>
      </c>
    </row>
    <row r="19" spans="2:5" x14ac:dyDescent="0.2">
      <c r="B19" s="7"/>
      <c r="C19" s="12">
        <f>LastSaved(C5)</f>
        <v>41289.699374999997</v>
      </c>
    </row>
    <row r="20" spans="2:5" x14ac:dyDescent="0.2">
      <c r="B20" s="7"/>
    </row>
    <row r="21" spans="2:5" x14ac:dyDescent="0.2">
      <c r="B21" s="11" t="s">
        <v>8</v>
      </c>
    </row>
    <row r="22" spans="2:5" x14ac:dyDescent="0.2">
      <c r="B22" s="7"/>
      <c r="C22" s="12">
        <f>DateTime()</f>
        <v>41289.699942129628</v>
      </c>
    </row>
    <row r="23" spans="2:5" x14ac:dyDescent="0.2">
      <c r="B23" s="7"/>
    </row>
    <row r="24" spans="2:5" x14ac:dyDescent="0.2">
      <c r="B24" s="7"/>
    </row>
    <row r="25" spans="2:5" x14ac:dyDescent="0.2">
      <c r="B25" s="11" t="s">
        <v>9</v>
      </c>
    </row>
    <row r="26" spans="2:5" x14ac:dyDescent="0.2">
      <c r="B26" s="7"/>
      <c r="C26" s="6" t="b">
        <f>IsEmailValid(D26)</f>
        <v>1</v>
      </c>
      <c r="D26" s="13" t="s">
        <v>10</v>
      </c>
    </row>
    <row r="27" spans="2:5" x14ac:dyDescent="0.2">
      <c r="B27" s="7"/>
      <c r="C27" s="6" t="b">
        <f t="shared" ref="C27:C28" si="0">IsEmailValid(D27)</f>
        <v>0</v>
      </c>
      <c r="D27" s="3" t="s">
        <v>11</v>
      </c>
    </row>
    <row r="28" spans="2:5" x14ac:dyDescent="0.2">
      <c r="B28" s="7"/>
      <c r="C28" s="6" t="b">
        <f t="shared" si="0"/>
        <v>0</v>
      </c>
      <c r="D28" s="13" t="s">
        <v>12</v>
      </c>
    </row>
    <row r="29" spans="2:5" x14ac:dyDescent="0.2">
      <c r="B29" s="7"/>
    </row>
    <row r="30" spans="2:5" x14ac:dyDescent="0.2">
      <c r="B30" s="7"/>
    </row>
    <row r="31" spans="2:5" x14ac:dyDescent="0.2">
      <c r="B31" s="11" t="s">
        <v>13</v>
      </c>
      <c r="D31" s="14">
        <f>SumByColor(E31,C$34:C$48)</f>
        <v>43</v>
      </c>
      <c r="E31" s="15"/>
    </row>
    <row r="32" spans="2:5" x14ac:dyDescent="0.2">
      <c r="B32" s="7"/>
      <c r="D32" s="16">
        <f>SumByColor(E32,C$34:C$48)</f>
        <v>12</v>
      </c>
      <c r="E32" s="17"/>
    </row>
    <row r="33" spans="2:5" x14ac:dyDescent="0.2">
      <c r="B33" s="7"/>
      <c r="D33" s="18">
        <f>SumByColor(E33,C$34:C$48)</f>
        <v>31</v>
      </c>
      <c r="E33" s="19"/>
    </row>
    <row r="34" spans="2:5" x14ac:dyDescent="0.2">
      <c r="B34" s="7"/>
      <c r="C34" s="20">
        <v>3</v>
      </c>
    </row>
    <row r="35" spans="2:5" x14ac:dyDescent="0.2">
      <c r="B35" s="7"/>
      <c r="C35" s="21">
        <v>9</v>
      </c>
    </row>
    <row r="36" spans="2:5" x14ac:dyDescent="0.2">
      <c r="B36" s="7"/>
      <c r="C36" s="21">
        <v>5</v>
      </c>
    </row>
    <row r="37" spans="2:5" x14ac:dyDescent="0.2">
      <c r="B37" s="7"/>
      <c r="C37" s="21">
        <v>6</v>
      </c>
    </row>
    <row r="38" spans="2:5" x14ac:dyDescent="0.2">
      <c r="B38" s="7"/>
      <c r="C38" s="20">
        <v>6</v>
      </c>
    </row>
    <row r="39" spans="2:5" x14ac:dyDescent="0.2">
      <c r="B39" s="7"/>
      <c r="C39" s="20">
        <v>7</v>
      </c>
    </row>
    <row r="40" spans="2:5" x14ac:dyDescent="0.2">
      <c r="B40" s="7"/>
      <c r="C40" s="21">
        <v>6</v>
      </c>
    </row>
    <row r="41" spans="2:5" x14ac:dyDescent="0.2">
      <c r="B41" s="7"/>
      <c r="C41" s="22">
        <v>3</v>
      </c>
    </row>
    <row r="42" spans="2:5" x14ac:dyDescent="0.2">
      <c r="B42" s="7"/>
      <c r="C42" s="20">
        <v>4</v>
      </c>
    </row>
    <row r="43" spans="2:5" x14ac:dyDescent="0.2">
      <c r="B43" s="7"/>
      <c r="C43" s="20">
        <v>4</v>
      </c>
    </row>
    <row r="44" spans="2:5" x14ac:dyDescent="0.2">
      <c r="B44" s="7"/>
      <c r="C44" s="21">
        <v>10</v>
      </c>
    </row>
    <row r="45" spans="2:5" x14ac:dyDescent="0.2">
      <c r="B45" s="7"/>
      <c r="C45" s="21">
        <v>6</v>
      </c>
    </row>
    <row r="46" spans="2:5" x14ac:dyDescent="0.2">
      <c r="B46" s="7"/>
      <c r="C46" s="22">
        <v>9</v>
      </c>
    </row>
    <row r="47" spans="2:5" x14ac:dyDescent="0.2">
      <c r="B47" s="7"/>
      <c r="C47" s="20">
        <v>7</v>
      </c>
    </row>
    <row r="48" spans="2:5" x14ac:dyDescent="0.2">
      <c r="B48" s="7"/>
      <c r="C48" s="21">
        <v>1</v>
      </c>
    </row>
    <row r="51" spans="2:4" x14ac:dyDescent="0.2">
      <c r="B51" s="11" t="s">
        <v>17</v>
      </c>
      <c r="D51" s="6" t="e">
        <f ca="1">NumUniqueValues(D52:D67)</f>
        <v>#NAME?</v>
      </c>
    </row>
    <row r="52" spans="2:4" x14ac:dyDescent="0.2">
      <c r="B52" s="7"/>
      <c r="D52" s="20" t="s">
        <v>18</v>
      </c>
    </row>
    <row r="53" spans="2:4" x14ac:dyDescent="0.2">
      <c r="B53" s="7"/>
      <c r="D53" s="20" t="s">
        <v>19</v>
      </c>
    </row>
    <row r="54" spans="2:4" x14ac:dyDescent="0.2">
      <c r="B54" s="7"/>
      <c r="D54" s="20" t="s">
        <v>20</v>
      </c>
    </row>
    <row r="55" spans="2:4" x14ac:dyDescent="0.2">
      <c r="B55" s="7"/>
      <c r="D55" s="20" t="s">
        <v>18</v>
      </c>
    </row>
    <row r="56" spans="2:4" x14ac:dyDescent="0.2">
      <c r="B56" s="7"/>
      <c r="D56" s="20" t="s">
        <v>21</v>
      </c>
    </row>
    <row r="57" spans="2:4" x14ac:dyDescent="0.2">
      <c r="B57" s="7"/>
      <c r="D57" s="20" t="s">
        <v>22</v>
      </c>
    </row>
    <row r="58" spans="2:4" x14ac:dyDescent="0.2">
      <c r="B58" s="7"/>
      <c r="D58" s="20" t="s">
        <v>23</v>
      </c>
    </row>
    <row r="59" spans="2:4" x14ac:dyDescent="0.2">
      <c r="B59" s="7"/>
      <c r="D59" s="20">
        <v>1</v>
      </c>
    </row>
    <row r="60" spans="2:4" x14ac:dyDescent="0.2">
      <c r="B60" s="7"/>
      <c r="D60" s="20">
        <v>19</v>
      </c>
    </row>
    <row r="61" spans="2:4" x14ac:dyDescent="0.2">
      <c r="B61" s="7"/>
      <c r="D61" s="20" t="s">
        <v>21</v>
      </c>
    </row>
    <row r="62" spans="2:4" x14ac:dyDescent="0.2">
      <c r="B62" s="7"/>
      <c r="D62" s="20" t="s">
        <v>24</v>
      </c>
    </row>
    <row r="63" spans="2:4" x14ac:dyDescent="0.2">
      <c r="B63" s="7"/>
      <c r="D63" s="20" t="s">
        <v>21</v>
      </c>
    </row>
    <row r="64" spans="2:4" x14ac:dyDescent="0.2">
      <c r="B64" s="7"/>
      <c r="D64" s="20" t="s">
        <v>25</v>
      </c>
    </row>
    <row r="65" spans="2:4" x14ac:dyDescent="0.2">
      <c r="B65" s="7"/>
      <c r="D65" s="20" t="s">
        <v>21</v>
      </c>
    </row>
    <row r="66" spans="2:4" x14ac:dyDescent="0.2">
      <c r="B66" s="7"/>
      <c r="D66" s="20">
        <v>123</v>
      </c>
    </row>
    <row r="67" spans="2:4" x14ac:dyDescent="0.2">
      <c r="B67" s="7"/>
      <c r="D67" s="20">
        <v>1</v>
      </c>
    </row>
    <row r="68" spans="2:4" x14ac:dyDescent="0.2">
      <c r="B68" s="7"/>
    </row>
    <row r="69" spans="2:4" x14ac:dyDescent="0.2">
      <c r="B69" s="7"/>
    </row>
    <row r="70" spans="2:4" x14ac:dyDescent="0.2">
      <c r="B70" s="10" t="s">
        <v>26</v>
      </c>
    </row>
    <row r="71" spans="2:4" x14ac:dyDescent="0.2">
      <c r="B71" s="7"/>
    </row>
    <row r="72" spans="2:4" ht="13.5" thickBot="1" x14ac:dyDescent="0.25">
      <c r="B72" s="7" t="s">
        <v>27</v>
      </c>
      <c r="D72" s="3" t="s">
        <v>28</v>
      </c>
    </row>
    <row r="73" spans="2:4" x14ac:dyDescent="0.2">
      <c r="B73" s="20" t="s">
        <v>18</v>
      </c>
      <c r="C73" s="3" t="s">
        <v>29</v>
      </c>
      <c r="D73" s="32" t="str">
        <f t="array" ref="D73:D83">NoDupsArray($B$73:$B$88)</f>
        <v>A</v>
      </c>
    </row>
    <row r="74" spans="2:4" x14ac:dyDescent="0.2">
      <c r="B74" s="20" t="s">
        <v>19</v>
      </c>
      <c r="C74" s="33" t="s">
        <v>30</v>
      </c>
      <c r="D74" s="34" t="str">
        <v>R</v>
      </c>
    </row>
    <row r="75" spans="2:4" x14ac:dyDescent="0.2">
      <c r="B75" s="20" t="s">
        <v>20</v>
      </c>
      <c r="C75" s="3" t="s">
        <v>106</v>
      </c>
      <c r="D75" s="34" t="str">
        <v>T</v>
      </c>
    </row>
    <row r="76" spans="2:4" x14ac:dyDescent="0.2">
      <c r="B76" s="20" t="s">
        <v>18</v>
      </c>
      <c r="C76" s="3" t="s">
        <v>31</v>
      </c>
      <c r="D76" s="34" t="str">
        <v>V</v>
      </c>
    </row>
    <row r="77" spans="2:4" x14ac:dyDescent="0.2">
      <c r="B77" s="20" t="s">
        <v>21</v>
      </c>
      <c r="D77" s="34" t="str">
        <v>F</v>
      </c>
    </row>
    <row r="78" spans="2:4" x14ac:dyDescent="0.2">
      <c r="B78" s="20" t="s">
        <v>22</v>
      </c>
      <c r="C78" s="3" t="s">
        <v>32</v>
      </c>
      <c r="D78" s="34" t="str">
        <v>EE</v>
      </c>
    </row>
    <row r="79" spans="2:4" x14ac:dyDescent="0.2">
      <c r="B79" s="20" t="s">
        <v>23</v>
      </c>
      <c r="C79" s="33" t="s">
        <v>33</v>
      </c>
      <c r="D79" s="34">
        <v>1</v>
      </c>
    </row>
    <row r="80" spans="2:4" x14ac:dyDescent="0.2">
      <c r="B80" s="20">
        <v>1</v>
      </c>
      <c r="C80" s="3" t="s">
        <v>34</v>
      </c>
      <c r="D80" s="34">
        <v>19</v>
      </c>
    </row>
    <row r="81" spans="2:4" x14ac:dyDescent="0.2">
      <c r="B81" s="20">
        <v>19</v>
      </c>
      <c r="C81" s="3" t="s">
        <v>35</v>
      </c>
      <c r="D81" s="34" t="str">
        <v>Q</v>
      </c>
    </row>
    <row r="82" spans="2:4" x14ac:dyDescent="0.2">
      <c r="B82" s="20" t="s">
        <v>21</v>
      </c>
      <c r="C82" s="3" t="s">
        <v>36</v>
      </c>
      <c r="D82" s="34" t="str">
        <v>GE</v>
      </c>
    </row>
    <row r="83" spans="2:4" ht="13.5" thickBot="1" x14ac:dyDescent="0.25">
      <c r="B83" s="20" t="s">
        <v>24</v>
      </c>
      <c r="D83" s="35">
        <v>123</v>
      </c>
    </row>
    <row r="84" spans="2:4" x14ac:dyDescent="0.2">
      <c r="B84" s="20" t="s">
        <v>21</v>
      </c>
      <c r="C84" s="3" t="s">
        <v>37</v>
      </c>
    </row>
    <row r="85" spans="2:4" x14ac:dyDescent="0.2">
      <c r="B85" s="20" t="s">
        <v>25</v>
      </c>
      <c r="C85" s="3" t="s">
        <v>38</v>
      </c>
    </row>
    <row r="86" spans="2:4" x14ac:dyDescent="0.2">
      <c r="B86" s="20" t="s">
        <v>21</v>
      </c>
      <c r="C86" s="3" t="s">
        <v>39</v>
      </c>
    </row>
    <row r="87" spans="2:4" x14ac:dyDescent="0.2">
      <c r="B87" s="20">
        <v>123</v>
      </c>
      <c r="C87" s="3" t="s">
        <v>40</v>
      </c>
    </row>
    <row r="88" spans="2:4" x14ac:dyDescent="0.2">
      <c r="B88" s="20">
        <v>1</v>
      </c>
    </row>
    <row r="89" spans="2:4" x14ac:dyDescent="0.2">
      <c r="B89" s="7"/>
      <c r="C89" s="3" t="s">
        <v>71</v>
      </c>
    </row>
    <row r="90" spans="2:4" x14ac:dyDescent="0.2">
      <c r="B90" s="7"/>
      <c r="C90" s="3" t="s">
        <v>72</v>
      </c>
    </row>
    <row r="91" spans="2:4" x14ac:dyDescent="0.2">
      <c r="B91" s="7"/>
    </row>
    <row r="92" spans="2:4" x14ac:dyDescent="0.2">
      <c r="B92" s="7"/>
    </row>
    <row r="93" spans="2:4" x14ac:dyDescent="0.2">
      <c r="B93" s="11" t="s">
        <v>41</v>
      </c>
    </row>
    <row r="94" spans="2:4" ht="13.5" thickBot="1" x14ac:dyDescent="0.25">
      <c r="B94" s="7"/>
    </row>
    <row r="95" spans="2:4" x14ac:dyDescent="0.2">
      <c r="B95" s="36"/>
      <c r="C95" s="37">
        <f>FirstNonZeroLength(B95:B101)</f>
        <v>2</v>
      </c>
    </row>
    <row r="96" spans="2:4" x14ac:dyDescent="0.2">
      <c r="B96" s="38"/>
    </row>
    <row r="97" spans="2:4" x14ac:dyDescent="0.2">
      <c r="B97" s="38">
        <v>2</v>
      </c>
    </row>
    <row r="98" spans="2:4" x14ac:dyDescent="0.2">
      <c r="B98" s="38"/>
    </row>
    <row r="99" spans="2:4" x14ac:dyDescent="0.2">
      <c r="B99" s="38">
        <v>7</v>
      </c>
    </row>
    <row r="100" spans="2:4" x14ac:dyDescent="0.2">
      <c r="B100" s="38">
        <v>8</v>
      </c>
    </row>
    <row r="101" spans="2:4" ht="13.5" thickBot="1" x14ac:dyDescent="0.25">
      <c r="B101" s="39">
        <v>9</v>
      </c>
    </row>
    <row r="102" spans="2:4" x14ac:dyDescent="0.2">
      <c r="B102" s="7"/>
    </row>
    <row r="103" spans="2:4" x14ac:dyDescent="0.2">
      <c r="B103" s="7"/>
    </row>
    <row r="104" spans="2:4" x14ac:dyDescent="0.2">
      <c r="B104" s="10" t="s">
        <v>42</v>
      </c>
    </row>
    <row r="105" spans="2:4" x14ac:dyDescent="0.2">
      <c r="B105" s="7"/>
      <c r="C105" s="3" t="s">
        <v>43</v>
      </c>
      <c r="D105" s="6" t="str">
        <f>MSUBSTITUTE(C105,"1","")</f>
        <v xml:space="preserve"> Introduction</v>
      </c>
    </row>
    <row r="106" spans="2:4" x14ac:dyDescent="0.2">
      <c r="B106" s="7"/>
      <c r="C106" s="3" t="s">
        <v>44</v>
      </c>
      <c r="D106" s="6" t="str">
        <f>MSUBSTITUTE(C106,"wam", "was")</f>
        <v>This was a test</v>
      </c>
    </row>
    <row r="107" spans="2:4" x14ac:dyDescent="0.2">
      <c r="B107" s="7"/>
      <c r="C107" s="3" t="s">
        <v>45</v>
      </c>
      <c r="D107" s="6" t="str">
        <f>MSUBSTITUTE(C107,"1234567890","")</f>
        <v>abc</v>
      </c>
    </row>
    <row r="108" spans="2:4" x14ac:dyDescent="0.2">
      <c r="B108" s="7"/>
      <c r="C108" s="3" t="s">
        <v>46</v>
      </c>
      <c r="D108" s="6" t="str">
        <f>MSUBSTITUTE(C108,"dyui","")</f>
        <v>Another Test</v>
      </c>
    </row>
    <row r="109" spans="2:4" x14ac:dyDescent="0.2">
      <c r="B109" s="7"/>
    </row>
    <row r="110" spans="2:4" x14ac:dyDescent="0.2">
      <c r="B110" s="7"/>
    </row>
    <row r="111" spans="2:4" x14ac:dyDescent="0.2">
      <c r="B111" s="10" t="s">
        <v>47</v>
      </c>
    </row>
    <row r="112" spans="2:4" x14ac:dyDescent="0.2">
      <c r="B112" s="7"/>
      <c r="C112" s="3" t="s">
        <v>45</v>
      </c>
      <c r="D112" s="6">
        <f>RetrieveNumbers(C112)</f>
        <v>123456</v>
      </c>
    </row>
    <row r="113" spans="2:9" x14ac:dyDescent="0.2">
      <c r="B113" s="7"/>
      <c r="C113" s="3" t="s">
        <v>48</v>
      </c>
      <c r="D113" s="6">
        <f>RetrieveNumbers(C113)</f>
        <v>12334</v>
      </c>
    </row>
    <row r="114" spans="2:9" x14ac:dyDescent="0.2">
      <c r="B114" s="7"/>
      <c r="C114" s="3" t="s">
        <v>49</v>
      </c>
      <c r="D114" s="6">
        <f>RetrieveNumbers(C114)</f>
        <v>123</v>
      </c>
    </row>
    <row r="115" spans="2:9" x14ac:dyDescent="0.2">
      <c r="B115" s="7"/>
    </row>
    <row r="116" spans="2:9" x14ac:dyDescent="0.2">
      <c r="B116" s="7"/>
    </row>
    <row r="117" spans="2:9" x14ac:dyDescent="0.2">
      <c r="B117" s="11" t="s">
        <v>50</v>
      </c>
    </row>
    <row r="118" spans="2:9" x14ac:dyDescent="0.2">
      <c r="C118" s="40">
        <f>ConvertWeekDay(D118)</f>
        <v>41372</v>
      </c>
      <c r="D118" s="3" t="s">
        <v>107</v>
      </c>
    </row>
    <row r="119" spans="2:9" x14ac:dyDescent="0.2">
      <c r="C119" s="40">
        <f t="shared" ref="C119:C121" si="1">ConvertWeekDay(D119)</f>
        <v>41085</v>
      </c>
      <c r="D119" s="33" t="s">
        <v>108</v>
      </c>
    </row>
    <row r="120" spans="2:9" x14ac:dyDescent="0.2">
      <c r="C120" s="40">
        <f t="shared" si="1"/>
        <v>41624</v>
      </c>
      <c r="D120" s="3" t="s">
        <v>109</v>
      </c>
    </row>
    <row r="121" spans="2:9" x14ac:dyDescent="0.2">
      <c r="C121" s="40">
        <f t="shared" si="1"/>
        <v>23788</v>
      </c>
      <c r="D121" s="3" t="s">
        <v>51</v>
      </c>
    </row>
    <row r="122" spans="2:9" x14ac:dyDescent="0.2">
      <c r="B122" s="7"/>
    </row>
    <row r="123" spans="2:9" x14ac:dyDescent="0.2">
      <c r="B123" s="7"/>
    </row>
    <row r="124" spans="2:9" x14ac:dyDescent="0.2">
      <c r="B124" s="10" t="s">
        <v>94</v>
      </c>
    </row>
    <row r="125" spans="2:9" x14ac:dyDescent="0.2">
      <c r="B125" s="7"/>
      <c r="D125" s="54" t="s">
        <v>97</v>
      </c>
      <c r="E125" s="54"/>
      <c r="F125" s="54"/>
      <c r="G125" s="54"/>
      <c r="H125" s="54"/>
      <c r="I125" s="54"/>
    </row>
    <row r="126" spans="2:9" x14ac:dyDescent="0.2">
      <c r="B126" s="20" t="s">
        <v>95</v>
      </c>
      <c r="C126" s="20" t="s">
        <v>96</v>
      </c>
      <c r="D126" s="48">
        <v>1</v>
      </c>
      <c r="E126" s="20">
        <v>2</v>
      </c>
      <c r="F126" s="20">
        <v>3</v>
      </c>
      <c r="G126" s="20">
        <v>4</v>
      </c>
      <c r="H126" s="20">
        <v>5</v>
      </c>
      <c r="I126" s="20">
        <v>6</v>
      </c>
    </row>
    <row r="127" spans="2:9" x14ac:dyDescent="0.2">
      <c r="B127" s="46" t="s">
        <v>98</v>
      </c>
      <c r="C127" s="47" t="s">
        <v>99</v>
      </c>
      <c r="D127" s="49" t="str">
        <f t="shared" ref="D127:I127" si="2">StringElement($B$127,$C$127,D126)</f>
        <v>A</v>
      </c>
      <c r="E127" s="50" t="str">
        <f t="shared" si="2"/>
        <v>B</v>
      </c>
      <c r="F127" s="50" t="str">
        <f t="shared" si="2"/>
        <v>C</v>
      </c>
      <c r="G127" s="50" t="str">
        <f t="shared" si="2"/>
        <v>D</v>
      </c>
      <c r="H127" s="50" t="str">
        <f t="shared" si="2"/>
        <v>E</v>
      </c>
      <c r="I127" s="50" t="str">
        <f t="shared" si="2"/>
        <v>F</v>
      </c>
    </row>
    <row r="128" spans="2:9" x14ac:dyDescent="0.2">
      <c r="B128" s="51"/>
      <c r="C128" s="52"/>
      <c r="D128" s="53"/>
      <c r="E128" s="53"/>
      <c r="F128" s="53"/>
      <c r="G128" s="53"/>
      <c r="H128" s="53"/>
      <c r="I128" s="53"/>
    </row>
    <row r="129" spans="2:4" x14ac:dyDescent="0.2">
      <c r="B129" s="7"/>
    </row>
    <row r="130" spans="2:4" x14ac:dyDescent="0.2">
      <c r="B130" s="10" t="s">
        <v>52</v>
      </c>
      <c r="D130" s="33"/>
    </row>
    <row r="131" spans="2:4" x14ac:dyDescent="0.2">
      <c r="B131" s="3" t="s">
        <v>59</v>
      </c>
      <c r="C131" s="6" t="str">
        <f>SortConcat(B132:B142)</f>
        <v>1,9,14,50,AA,a,f,gg,q,r,rrrrr</v>
      </c>
    </row>
    <row r="132" spans="2:4" x14ac:dyDescent="0.2">
      <c r="B132" s="3" t="s">
        <v>53</v>
      </c>
    </row>
    <row r="133" spans="2:4" x14ac:dyDescent="0.2">
      <c r="B133" s="3" t="s">
        <v>54</v>
      </c>
    </row>
    <row r="134" spans="2:4" x14ac:dyDescent="0.2">
      <c r="B134" s="3" t="s">
        <v>55</v>
      </c>
    </row>
    <row r="135" spans="2:4" x14ac:dyDescent="0.2">
      <c r="B135" s="3" t="s">
        <v>56</v>
      </c>
    </row>
    <row r="136" spans="2:4" x14ac:dyDescent="0.2">
      <c r="B136" s="3" t="s">
        <v>57</v>
      </c>
    </row>
    <row r="137" spans="2:4" x14ac:dyDescent="0.2">
      <c r="B137" s="3">
        <v>1</v>
      </c>
    </row>
    <row r="138" spans="2:4" x14ac:dyDescent="0.2">
      <c r="B138" s="3">
        <v>9</v>
      </c>
    </row>
    <row r="139" spans="2:4" x14ac:dyDescent="0.2">
      <c r="B139" s="3">
        <v>50</v>
      </c>
    </row>
    <row r="140" spans="2:4" x14ac:dyDescent="0.2">
      <c r="B140" s="3">
        <v>14</v>
      </c>
    </row>
    <row r="141" spans="2:4" x14ac:dyDescent="0.2">
      <c r="B141" s="3" t="s">
        <v>58</v>
      </c>
    </row>
    <row r="142" spans="2:4" x14ac:dyDescent="0.2">
      <c r="B142" s="7" t="s">
        <v>110</v>
      </c>
    </row>
    <row r="143" spans="2:4" x14ac:dyDescent="0.2">
      <c r="B143" s="7"/>
    </row>
    <row r="144" spans="2:4" x14ac:dyDescent="0.2">
      <c r="B144" s="7"/>
    </row>
    <row r="145" spans="2:4" x14ac:dyDescent="0.2">
      <c r="B145" s="11" t="s">
        <v>60</v>
      </c>
    </row>
    <row r="146" spans="2:4" ht="13.5" thickBot="1" x14ac:dyDescent="0.25">
      <c r="B146" s="20" t="s">
        <v>61</v>
      </c>
      <c r="C146" s="20" t="s">
        <v>67</v>
      </c>
      <c r="D146" s="3" t="s">
        <v>68</v>
      </c>
    </row>
    <row r="147" spans="2:4" x14ac:dyDescent="0.2">
      <c r="B147" s="20" t="s">
        <v>62</v>
      </c>
      <c r="C147" s="41">
        <f t="array" ref="C147:C159">Sorter($B$147:$B$159)</f>
        <v>2</v>
      </c>
      <c r="D147" s="3" t="s">
        <v>69</v>
      </c>
    </row>
    <row r="148" spans="2:4" x14ac:dyDescent="0.2">
      <c r="B148" s="20" t="s">
        <v>63</v>
      </c>
      <c r="C148" s="42">
        <v>3</v>
      </c>
      <c r="D148" s="3" t="s">
        <v>70</v>
      </c>
    </row>
    <row r="149" spans="2:4" x14ac:dyDescent="0.2">
      <c r="B149" s="20" t="s">
        <v>111</v>
      </c>
      <c r="C149" s="42">
        <v>6</v>
      </c>
    </row>
    <row r="150" spans="2:4" x14ac:dyDescent="0.2">
      <c r="B150" s="20" t="s">
        <v>20</v>
      </c>
      <c r="C150" s="42">
        <v>9</v>
      </c>
      <c r="D150" s="3" t="s">
        <v>71</v>
      </c>
    </row>
    <row r="151" spans="2:4" x14ac:dyDescent="0.2">
      <c r="B151" s="20" t="s">
        <v>19</v>
      </c>
      <c r="C151" s="42" t="str">
        <v>9d</v>
      </c>
      <c r="D151" s="3" t="s">
        <v>72</v>
      </c>
    </row>
    <row r="152" spans="2:4" x14ac:dyDescent="0.2">
      <c r="B152" s="20" t="s">
        <v>22</v>
      </c>
      <c r="C152" s="42" t="str">
        <v>B</v>
      </c>
    </row>
    <row r="153" spans="2:4" x14ac:dyDescent="0.2">
      <c r="B153" s="20" t="s">
        <v>64</v>
      </c>
      <c r="C153" s="42" t="str">
        <v>DD</v>
      </c>
    </row>
    <row r="154" spans="2:4" x14ac:dyDescent="0.2">
      <c r="B154" s="20" t="s">
        <v>65</v>
      </c>
      <c r="C154" s="42" t="str">
        <v>E</v>
      </c>
    </row>
    <row r="155" spans="2:4" x14ac:dyDescent="0.2">
      <c r="B155" s="20">
        <v>9</v>
      </c>
      <c r="C155" s="42" t="str">
        <v>F</v>
      </c>
    </row>
    <row r="156" spans="2:4" x14ac:dyDescent="0.2">
      <c r="B156" s="20">
        <v>3</v>
      </c>
      <c r="C156" s="42" t="str">
        <v>R</v>
      </c>
    </row>
    <row r="157" spans="2:4" x14ac:dyDescent="0.2">
      <c r="B157" s="20">
        <v>2</v>
      </c>
      <c r="C157" s="42" t="str">
        <v>SS</v>
      </c>
    </row>
    <row r="158" spans="2:4" x14ac:dyDescent="0.2">
      <c r="B158" s="20">
        <v>6</v>
      </c>
      <c r="C158" s="42" t="str">
        <v>T</v>
      </c>
    </row>
    <row r="159" spans="2:4" ht="13.5" thickBot="1" x14ac:dyDescent="0.25">
      <c r="B159" s="20" t="s">
        <v>66</v>
      </c>
      <c r="C159" s="43" t="str">
        <v>y</v>
      </c>
    </row>
    <row r="160" spans="2:4" x14ac:dyDescent="0.2">
      <c r="B160" s="7"/>
    </row>
    <row r="161" spans="2:4" x14ac:dyDescent="0.2">
      <c r="B161" s="7"/>
    </row>
    <row r="162" spans="2:4" x14ac:dyDescent="0.2">
      <c r="B162" s="11" t="s">
        <v>73</v>
      </c>
    </row>
    <row r="163" spans="2:4" x14ac:dyDescent="0.2">
      <c r="B163" s="3" t="s">
        <v>74</v>
      </c>
      <c r="D163" s="37" t="str">
        <f>ContainsText(B163:B165,"banana")</f>
        <v>B165</v>
      </c>
    </row>
    <row r="164" spans="2:4" x14ac:dyDescent="0.2">
      <c r="B164" s="3" t="s">
        <v>75</v>
      </c>
      <c r="D164" s="37" t="str">
        <f>ContainsText(B163:B165,"This is")</f>
        <v>B163,B164</v>
      </c>
    </row>
    <row r="165" spans="2:4" x14ac:dyDescent="0.2">
      <c r="B165" s="3" t="s">
        <v>76</v>
      </c>
    </row>
    <row r="166" spans="2:4" x14ac:dyDescent="0.2">
      <c r="B166" s="7"/>
    </row>
    <row r="167" spans="2:4" x14ac:dyDescent="0.2">
      <c r="B167" s="7"/>
    </row>
    <row r="168" spans="2:4" x14ac:dyDescent="0.2">
      <c r="B168" s="11" t="s">
        <v>77</v>
      </c>
    </row>
    <row r="169" spans="2:4" x14ac:dyDescent="0.2">
      <c r="B169" s="7"/>
      <c r="C169" s="3" t="s">
        <v>78</v>
      </c>
      <c r="D169" s="6" t="str">
        <f>ReverseContents(C169)</f>
        <v>?uoy era woH</v>
      </c>
    </row>
    <row r="170" spans="2:4" x14ac:dyDescent="0.2">
      <c r="B170" s="7"/>
      <c r="C170" s="3" t="s">
        <v>79</v>
      </c>
      <c r="D170" s="6" t="str">
        <f>ReverseContents(C170)</f>
        <v>ananab</v>
      </c>
    </row>
    <row r="171" spans="2:4" x14ac:dyDescent="0.2">
      <c r="B171" s="7"/>
      <c r="C171" s="3" t="s">
        <v>80</v>
      </c>
      <c r="D171" s="6" t="str">
        <f>ReverseContents(C171)</f>
        <v>neleJ lliB</v>
      </c>
    </row>
    <row r="172" spans="2:4" x14ac:dyDescent="0.2">
      <c r="B172" s="7"/>
      <c r="C172" s="3" t="s">
        <v>81</v>
      </c>
      <c r="D172" s="6" t="str">
        <f>ReverseContents(C172)</f>
        <v>otto</v>
      </c>
    </row>
    <row r="173" spans="2:4" x14ac:dyDescent="0.2">
      <c r="B173" s="7"/>
    </row>
    <row r="174" spans="2:4" x14ac:dyDescent="0.2">
      <c r="B174" s="7"/>
    </row>
    <row r="175" spans="2:4" x14ac:dyDescent="0.2">
      <c r="B175" s="11" t="s">
        <v>82</v>
      </c>
    </row>
    <row r="176" spans="2:4" x14ac:dyDescent="0.2">
      <c r="B176" s="20">
        <v>3</v>
      </c>
      <c r="C176" s="37" t="str">
        <f>ReturnMaxs(B176:B190)</f>
        <v>B184,B186</v>
      </c>
    </row>
    <row r="177" spans="2:2" x14ac:dyDescent="0.2">
      <c r="B177" s="20">
        <v>9</v>
      </c>
    </row>
    <row r="178" spans="2:2" x14ac:dyDescent="0.2">
      <c r="B178" s="20">
        <v>5</v>
      </c>
    </row>
    <row r="179" spans="2:2" x14ac:dyDescent="0.2">
      <c r="B179" s="20">
        <v>6</v>
      </c>
    </row>
    <row r="180" spans="2:2" x14ac:dyDescent="0.2">
      <c r="B180" s="20">
        <v>6</v>
      </c>
    </row>
    <row r="181" spans="2:2" x14ac:dyDescent="0.2">
      <c r="B181" s="20">
        <v>7</v>
      </c>
    </row>
    <row r="182" spans="2:2" x14ac:dyDescent="0.2">
      <c r="B182" s="20">
        <v>6</v>
      </c>
    </row>
    <row r="183" spans="2:2" x14ac:dyDescent="0.2">
      <c r="B183" s="20">
        <v>3</v>
      </c>
    </row>
    <row r="184" spans="2:2" x14ac:dyDescent="0.2">
      <c r="B184" s="20">
        <v>10</v>
      </c>
    </row>
    <row r="185" spans="2:2" x14ac:dyDescent="0.2">
      <c r="B185" s="20">
        <v>4</v>
      </c>
    </row>
    <row r="186" spans="2:2" x14ac:dyDescent="0.2">
      <c r="B186" s="20">
        <v>10</v>
      </c>
    </row>
    <row r="187" spans="2:2" x14ac:dyDescent="0.2">
      <c r="B187" s="20">
        <v>6</v>
      </c>
    </row>
    <row r="188" spans="2:2" x14ac:dyDescent="0.2">
      <c r="B188" s="20">
        <v>9</v>
      </c>
    </row>
    <row r="189" spans="2:2" x14ac:dyDescent="0.2">
      <c r="B189" s="20">
        <v>7</v>
      </c>
    </row>
    <row r="190" spans="2:2" x14ac:dyDescent="0.2">
      <c r="B190" s="20">
        <v>1</v>
      </c>
    </row>
    <row r="191" spans="2:2" x14ac:dyDescent="0.2">
      <c r="B191" s="7"/>
    </row>
    <row r="192" spans="2:2" x14ac:dyDescent="0.2">
      <c r="B192" s="7"/>
    </row>
    <row r="193" spans="2:4" x14ac:dyDescent="0.2">
      <c r="B193" s="11" t="s">
        <v>83</v>
      </c>
    </row>
    <row r="194" spans="2:4" x14ac:dyDescent="0.2">
      <c r="B194" s="7"/>
      <c r="C194" s="6" t="str">
        <f>GetAddress(D194)</f>
        <v>Tracy@MrExcel.com</v>
      </c>
      <c r="D194" s="13" t="s">
        <v>84</v>
      </c>
    </row>
    <row r="195" spans="2:4" x14ac:dyDescent="0.2">
      <c r="B195" s="7"/>
      <c r="C195" s="6" t="str">
        <f>GetAddress(D195)</f>
        <v>http://www.mrexcel.com/</v>
      </c>
      <c r="D195" s="44" t="s">
        <v>85</v>
      </c>
    </row>
    <row r="196" spans="2:4" x14ac:dyDescent="0.2">
      <c r="B196" s="7"/>
    </row>
    <row r="197" spans="2:4" x14ac:dyDescent="0.2">
      <c r="B197" s="7"/>
    </row>
    <row r="198" spans="2:4" x14ac:dyDescent="0.2">
      <c r="B198" s="10" t="s">
        <v>86</v>
      </c>
    </row>
    <row r="199" spans="2:4" x14ac:dyDescent="0.2">
      <c r="B199" s="7"/>
      <c r="C199" s="6" t="str">
        <f>ColName(B199)</f>
        <v>B</v>
      </c>
    </row>
    <row r="200" spans="2:4" x14ac:dyDescent="0.2">
      <c r="B200" s="7"/>
      <c r="C200" s="6" t="str">
        <f>ColName(XFD218)</f>
        <v>XFD</v>
      </c>
    </row>
    <row r="201" spans="2:4" x14ac:dyDescent="0.2">
      <c r="B201" s="7"/>
    </row>
    <row r="202" spans="2:4" x14ac:dyDescent="0.2">
      <c r="B202" s="7"/>
    </row>
    <row r="203" spans="2:4" x14ac:dyDescent="0.2">
      <c r="B203" s="10" t="s">
        <v>87</v>
      </c>
    </row>
    <row r="204" spans="2:4" x14ac:dyDescent="0.2">
      <c r="B204" s="7"/>
      <c r="C204" s="6">
        <f>StaticRAND()</f>
        <v>0.57655233144760132</v>
      </c>
    </row>
    <row r="205" spans="2:4" x14ac:dyDescent="0.2">
      <c r="B205" s="7"/>
      <c r="C205" s="6">
        <f t="shared" ref="C205:C211" si="3">StaticRAND()</f>
        <v>0.61523252725601196</v>
      </c>
    </row>
    <row r="206" spans="2:4" x14ac:dyDescent="0.2">
      <c r="B206" s="7"/>
      <c r="C206" s="6">
        <f t="shared" si="3"/>
        <v>0.10398268699645996</v>
      </c>
    </row>
    <row r="207" spans="2:4" x14ac:dyDescent="0.2">
      <c r="B207" s="7"/>
      <c r="C207" s="6">
        <f t="shared" si="3"/>
        <v>0.69000184535980225</v>
      </c>
    </row>
    <row r="208" spans="2:4" x14ac:dyDescent="0.2">
      <c r="B208" s="7"/>
      <c r="C208" s="6">
        <f t="shared" si="3"/>
        <v>0.83954048156738281</v>
      </c>
    </row>
    <row r="209" spans="1:4" x14ac:dyDescent="0.2">
      <c r="B209" s="7"/>
      <c r="C209" s="6">
        <f t="shared" si="3"/>
        <v>0.8666645884513855</v>
      </c>
    </row>
    <row r="210" spans="1:4" x14ac:dyDescent="0.2">
      <c r="B210" s="7"/>
      <c r="C210" s="6">
        <f t="shared" si="3"/>
        <v>0.24714738130569458</v>
      </c>
    </row>
    <row r="211" spans="1:4" x14ac:dyDescent="0.2">
      <c r="B211" s="7"/>
      <c r="C211" s="6">
        <f t="shared" si="3"/>
        <v>0.80921280384063721</v>
      </c>
    </row>
    <row r="212" spans="1:4" x14ac:dyDescent="0.2">
      <c r="B212" s="7"/>
    </row>
    <row r="213" spans="1:4" x14ac:dyDescent="0.2">
      <c r="B213" s="7"/>
    </row>
    <row r="215" spans="1:4" x14ac:dyDescent="0.2">
      <c r="B215" s="11" t="s">
        <v>88</v>
      </c>
    </row>
    <row r="217" spans="1:4" x14ac:dyDescent="0.2">
      <c r="B217" s="3" t="s">
        <v>112</v>
      </c>
      <c r="C217" s="3">
        <v>145</v>
      </c>
    </row>
    <row r="218" spans="1:4" x14ac:dyDescent="0.2">
      <c r="B218" s="3" t="s">
        <v>114</v>
      </c>
      <c r="C218" s="3">
        <v>65</v>
      </c>
    </row>
    <row r="220" spans="1:4" x14ac:dyDescent="0.2">
      <c r="B220" s="3" t="s">
        <v>113</v>
      </c>
      <c r="C220" s="6" t="str">
        <f>BMI(C218,C217)</f>
        <v>Normal</v>
      </c>
    </row>
    <row r="223" spans="1:4" x14ac:dyDescent="0.2">
      <c r="A223" s="3" t="s">
        <v>105</v>
      </c>
      <c r="B223" s="10" t="s">
        <v>14</v>
      </c>
    </row>
    <row r="224" spans="1:4" x14ac:dyDescent="0.2">
      <c r="B224" s="7"/>
      <c r="C224" s="6" t="str">
        <f>CellColor(D224)</f>
        <v>Yellow</v>
      </c>
      <c r="D224" s="23"/>
    </row>
    <row r="225" spans="1:4" x14ac:dyDescent="0.2">
      <c r="B225" s="7"/>
      <c r="C225" s="6">
        <f>CellColor(D225,TRUE)</f>
        <v>3</v>
      </c>
      <c r="D225" s="24"/>
    </row>
    <row r="226" spans="1:4" x14ac:dyDescent="0.2">
      <c r="B226" s="7"/>
      <c r="C226" s="6" t="str">
        <f t="shared" ref="C226:C228" si="4">CellColor(D226)</f>
        <v>Bright Green</v>
      </c>
      <c r="D226" s="25"/>
    </row>
    <row r="227" spans="1:4" x14ac:dyDescent="0.2">
      <c r="B227" s="7"/>
      <c r="C227" s="6" t="str">
        <f>CellColor(D227)</f>
        <v>Light Blue</v>
      </c>
      <c r="D227" s="26"/>
    </row>
    <row r="228" spans="1:4" x14ac:dyDescent="0.2">
      <c r="B228" s="7"/>
      <c r="C228" s="6" t="str">
        <f t="shared" si="4"/>
        <v>Blue</v>
      </c>
      <c r="D228" s="27"/>
    </row>
    <row r="229" spans="1:4" x14ac:dyDescent="0.2">
      <c r="B229" s="7"/>
    </row>
    <row r="230" spans="1:4" x14ac:dyDescent="0.2">
      <c r="A230" s="3" t="s">
        <v>105</v>
      </c>
      <c r="B230" s="10" t="s">
        <v>15</v>
      </c>
    </row>
    <row r="231" spans="1:4" x14ac:dyDescent="0.2">
      <c r="B231" s="7"/>
      <c r="C231" s="6">
        <f>textcolor(D231)</f>
        <v>3</v>
      </c>
      <c r="D231" s="28" t="s">
        <v>16</v>
      </c>
    </row>
    <row r="232" spans="1:4" x14ac:dyDescent="0.2">
      <c r="B232" s="7"/>
      <c r="C232" s="6">
        <f>textcolor(D232)</f>
        <v>1</v>
      </c>
      <c r="D232" s="29" t="s">
        <v>16</v>
      </c>
    </row>
    <row r="233" spans="1:4" x14ac:dyDescent="0.2">
      <c r="B233" s="7"/>
      <c r="C233" s="6">
        <f>textcolor(D233)</f>
        <v>5</v>
      </c>
      <c r="D233" s="30" t="s">
        <v>16</v>
      </c>
    </row>
    <row r="234" spans="1:4" x14ac:dyDescent="0.2">
      <c r="B234" s="7"/>
      <c r="C234" s="6">
        <f>textcolor(D234)</f>
        <v>54</v>
      </c>
      <c r="D234" s="31" t="s">
        <v>16</v>
      </c>
    </row>
    <row r="235" spans="1:4" x14ac:dyDescent="0.2">
      <c r="B235" s="7"/>
    </row>
  </sheetData>
  <mergeCells count="1">
    <mergeCell ref="D125:I125"/>
  </mergeCells>
  <phoneticPr fontId="2" type="noConversion"/>
  <hyperlinks>
    <hyperlink ref="D26" r:id="rId1" display="mailto:consult@MrExcel.com"/>
    <hyperlink ref="D28" r:id="rId2" display="mailto:consult@MrExcel.command"/>
    <hyperlink ref="D194" r:id="rId3" display="mailto:Tracy@MrExcel.com"/>
    <hyperlink ref="D195" r:id="rId4" display="The Best Site for Your Excel Questions"/>
  </hyperlinks>
  <pageMargins left="0.75" right="0.75" top="1" bottom="1" header="0.5" footer="0.5"/>
  <pageSetup orientation="portrait" horizontalDpi="4294967294" verticalDpi="0" r:id="rId5"/>
  <headerFooter alignWithMargins="0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" name="Button 1">
              <controlPr defaultSize="0" print="0" autoFill="0" autoPict="0" macro="[0]!OpenAWorkbook">
                <anchor moveWithCells="1" sizeWithCells="1">
                  <from>
                    <xdr:col>5</xdr:col>
                    <xdr:colOff>590550</xdr:colOff>
                    <xdr:row>5</xdr:row>
                    <xdr:rowOff>152400</xdr:rowOff>
                  </from>
                  <to>
                    <xdr:col>7</xdr:col>
                    <xdr:colOff>361950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9" name="Button 2">
              <controlPr defaultSize="0" print="0" autoFill="0" autoPict="0" macro="[0]!CheckForSheet">
                <anchor moveWithCells="1" sizeWithCells="1">
                  <from>
                    <xdr:col>5</xdr:col>
                    <xdr:colOff>600075</xdr:colOff>
                    <xdr:row>8</xdr:row>
                    <xdr:rowOff>66675</xdr:rowOff>
                  </from>
                  <to>
                    <xdr:col>7</xdr:col>
                    <xdr:colOff>371475</xdr:colOff>
                    <xdr:row>10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0" name="Button 3">
              <controlPr defaultSize="0" print="0" autoFill="0" autoPict="0" macro="[0]!CountMyWkbks">
                <anchor moveWithCells="1" sizeWithCells="1">
                  <from>
                    <xdr:col>6</xdr:col>
                    <xdr:colOff>0</xdr:colOff>
                    <xdr:row>11</xdr:row>
                    <xdr:rowOff>66675</xdr:rowOff>
                  </from>
                  <to>
                    <xdr:col>7</xdr:col>
                    <xdr:colOff>381000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Button 4">
              <controlPr defaultSize="0" print="0" autoFill="0" autoPict="0" macro="[0]!CheckUserRights">
                <anchor moveWithCells="1" sizeWithCells="1">
                  <from>
                    <xdr:col>5</xdr:col>
                    <xdr:colOff>600075</xdr:colOff>
                    <xdr:row>14</xdr:row>
                    <xdr:rowOff>66675</xdr:rowOff>
                  </from>
                  <to>
                    <xdr:col>7</xdr:col>
                    <xdr:colOff>371475</xdr:colOff>
                    <xdr:row>16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2007-02-16T03:55:53Z</outs:dateTime>
      <outs:isPinned>true</outs:isPinned>
    </outs:relatedDate>
    <outs:relatedDate>
      <outs:type>2</outs:type>
      <outs:displayName>Created</outs:displayName>
      <outs:dateTime>2004-06-01T00:20:38Z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Bill Jelen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Tracy S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1DACF76B-B518-42FF-880B-024FC9204D8A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Discussion</vt:lpstr>
      <vt:lpstr>Functions</vt:lpstr>
    </vt:vector>
  </TitlesOfParts>
  <Company>Tickling Keys,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Jelen</dc:creator>
  <cp:lastModifiedBy>Tracy Syrstad</cp:lastModifiedBy>
  <dcterms:created xsi:type="dcterms:W3CDTF">2004-06-01T00:20:38Z</dcterms:created>
  <dcterms:modified xsi:type="dcterms:W3CDTF">2013-01-17T00:06:43Z</dcterms:modified>
</cp:coreProperties>
</file>